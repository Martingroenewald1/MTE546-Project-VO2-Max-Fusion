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新潟大学\articles\53. Sweat lactate\"/>
    </mc:Choice>
  </mc:AlternateContent>
  <xr:revisionPtr revIDLastSave="0" documentId="13_ncr:1_{C9777628-9449-49B5-9C63-1523F26E4DF3}" xr6:coauthVersionLast="36" xr6:coauthVersionMax="47" xr10:uidLastSave="{00000000-0000-0000-0000-000000000000}"/>
  <bookViews>
    <workbookView xWindow="-120" yWindow="-120" windowWidth="29040" windowHeight="15720" activeTab="4" xr2:uid="{26580341-5FA3-A54D-AF41-B8743E0C6C7F}"/>
  </bookViews>
  <sheets>
    <sheet name="Participant" sheetId="5" r:id="rId1"/>
    <sheet name="Sweat rate and Sweat lactate" sheetId="4" r:id="rId2"/>
    <sheet name="Threshold and slope" sheetId="11" r:id="rId3"/>
    <sheet name="Follow-up Participant" sheetId="13" r:id="rId4"/>
    <sheet name="Follow-up Threshold , slope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8" i="13" l="1"/>
  <c r="O18" i="13"/>
  <c r="N18" i="13"/>
  <c r="M18" i="13"/>
  <c r="G18" i="13"/>
  <c r="F18" i="13"/>
  <c r="E18" i="13"/>
  <c r="D18" i="13"/>
  <c r="P17" i="13"/>
  <c r="O17" i="13"/>
  <c r="N17" i="13"/>
  <c r="M17" i="13"/>
  <c r="G17" i="13"/>
  <c r="F17" i="13"/>
  <c r="E17" i="13"/>
  <c r="D17" i="13"/>
  <c r="BR5" i="4"/>
  <c r="BQ5" i="4"/>
  <c r="BP5" i="4"/>
  <c r="BO5" i="4"/>
  <c r="BR44" i="4"/>
  <c r="BQ44" i="4"/>
  <c r="BP44" i="4"/>
  <c r="BO44" i="4"/>
  <c r="BR43" i="4"/>
  <c r="BQ43" i="4"/>
  <c r="BP43" i="4"/>
  <c r="BO43" i="4"/>
  <c r="BR42" i="4"/>
  <c r="BQ42" i="4"/>
  <c r="BP42" i="4"/>
  <c r="BO42" i="4"/>
  <c r="BR41" i="4"/>
  <c r="BQ41" i="4"/>
  <c r="BP41" i="4"/>
  <c r="BO41" i="4"/>
  <c r="BR40" i="4"/>
  <c r="BQ40" i="4"/>
  <c r="BP40" i="4"/>
  <c r="BO40" i="4"/>
  <c r="BR39" i="4"/>
  <c r="BQ39" i="4"/>
  <c r="BP39" i="4"/>
  <c r="BO39" i="4"/>
  <c r="BR38" i="4"/>
  <c r="BQ38" i="4"/>
  <c r="BP38" i="4"/>
  <c r="BO38" i="4"/>
  <c r="BR37" i="4"/>
  <c r="BQ37" i="4"/>
  <c r="BP37" i="4"/>
  <c r="BO37" i="4"/>
  <c r="BR36" i="4"/>
  <c r="BQ36" i="4"/>
  <c r="BP36" i="4"/>
  <c r="BO36" i="4"/>
  <c r="BR35" i="4"/>
  <c r="BQ35" i="4"/>
  <c r="BP35" i="4"/>
  <c r="BO35" i="4"/>
  <c r="BR34" i="4"/>
  <c r="BQ34" i="4"/>
  <c r="BP34" i="4"/>
  <c r="BO34" i="4"/>
  <c r="BR33" i="4"/>
  <c r="BQ33" i="4"/>
  <c r="BP33" i="4"/>
  <c r="BO33" i="4"/>
  <c r="BR32" i="4"/>
  <c r="BQ32" i="4"/>
  <c r="BP32" i="4"/>
  <c r="BO32" i="4"/>
  <c r="BR31" i="4"/>
  <c r="BQ31" i="4"/>
  <c r="BP31" i="4"/>
  <c r="BO31" i="4"/>
  <c r="BR30" i="4"/>
  <c r="BQ30" i="4"/>
  <c r="BP30" i="4"/>
  <c r="BO30" i="4"/>
  <c r="BR29" i="4"/>
  <c r="BQ29" i="4"/>
  <c r="BP29" i="4"/>
  <c r="BO29" i="4"/>
  <c r="BR28" i="4"/>
  <c r="BQ28" i="4"/>
  <c r="BP28" i="4"/>
  <c r="BO28" i="4"/>
  <c r="BR27" i="4"/>
  <c r="BQ27" i="4"/>
  <c r="BP27" i="4"/>
  <c r="BO27" i="4"/>
  <c r="BR26" i="4"/>
  <c r="BQ26" i="4"/>
  <c r="BP26" i="4"/>
  <c r="BO26" i="4"/>
  <c r="BR25" i="4"/>
  <c r="BQ25" i="4"/>
  <c r="BP25" i="4"/>
  <c r="BO25" i="4"/>
  <c r="BR24" i="4"/>
  <c r="BQ24" i="4"/>
  <c r="BP24" i="4"/>
  <c r="BO24" i="4"/>
  <c r="BR23" i="4"/>
  <c r="BQ23" i="4"/>
  <c r="BP23" i="4"/>
  <c r="BO23" i="4"/>
  <c r="BR22" i="4"/>
  <c r="BQ22" i="4"/>
  <c r="BP22" i="4"/>
  <c r="BO22" i="4"/>
  <c r="BR21" i="4"/>
  <c r="BQ21" i="4"/>
  <c r="BP21" i="4"/>
  <c r="BO21" i="4"/>
  <c r="BR20" i="4"/>
  <c r="BQ20" i="4"/>
  <c r="BP20" i="4"/>
  <c r="BO20" i="4"/>
  <c r="BR19" i="4"/>
  <c r="BQ19" i="4"/>
  <c r="BP19" i="4"/>
  <c r="BO19" i="4"/>
  <c r="BR18" i="4"/>
  <c r="BQ18" i="4"/>
  <c r="BP18" i="4"/>
  <c r="BO18" i="4"/>
  <c r="BR17" i="4"/>
  <c r="BQ17" i="4"/>
  <c r="BP17" i="4"/>
  <c r="BO17" i="4"/>
  <c r="BR16" i="4"/>
  <c r="BQ16" i="4"/>
  <c r="BP16" i="4"/>
  <c r="BO16" i="4"/>
  <c r="BR15" i="4"/>
  <c r="BQ15" i="4"/>
  <c r="BP15" i="4"/>
  <c r="BO15" i="4"/>
  <c r="BR14" i="4"/>
  <c r="BQ14" i="4"/>
  <c r="BP14" i="4"/>
  <c r="BO14" i="4"/>
  <c r="BR13" i="4"/>
  <c r="BQ13" i="4"/>
  <c r="BP13" i="4"/>
  <c r="BO13" i="4"/>
  <c r="BR12" i="4"/>
  <c r="BQ12" i="4"/>
  <c r="BP12" i="4"/>
  <c r="BO12" i="4"/>
  <c r="BR11" i="4"/>
  <c r="BQ11" i="4"/>
  <c r="BP11" i="4"/>
  <c r="BO11" i="4"/>
  <c r="BR10" i="4"/>
  <c r="BQ10" i="4"/>
  <c r="BP10" i="4"/>
  <c r="BO10" i="4"/>
  <c r="BR9" i="4"/>
  <c r="BQ9" i="4"/>
  <c r="BP9" i="4"/>
  <c r="BO9" i="4"/>
  <c r="BR8" i="4"/>
  <c r="BQ8" i="4"/>
  <c r="BP8" i="4"/>
  <c r="BO8" i="4"/>
  <c r="BR7" i="4"/>
  <c r="BQ7" i="4"/>
  <c r="BP7" i="4"/>
  <c r="BO7" i="4"/>
  <c r="BR6" i="4"/>
  <c r="BQ6" i="4"/>
  <c r="BP6" i="4"/>
  <c r="BO6" i="4"/>
  <c r="AH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F5" i="4"/>
  <c r="AG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I35" i="5" l="1"/>
  <c r="F35" i="5"/>
  <c r="G35" i="5"/>
  <c r="H35" i="5"/>
  <c r="E35" i="5"/>
  <c r="F18" i="5"/>
  <c r="G18" i="5"/>
  <c r="H18" i="5"/>
  <c r="I18" i="5"/>
  <c r="E18" i="5"/>
  <c r="I34" i="5"/>
  <c r="E34" i="5"/>
  <c r="F34" i="5"/>
  <c r="H34" i="5"/>
  <c r="G34" i="5"/>
  <c r="F17" i="5" l="1"/>
  <c r="G17" i="5"/>
  <c r="H17" i="5"/>
  <c r="I17" i="5"/>
  <c r="E17" i="5"/>
</calcChain>
</file>

<file path=xl/sharedStrings.xml><?xml version="1.0" encoding="utf-8"?>
<sst xmlns="http://schemas.openxmlformats.org/spreadsheetml/2006/main" count="522" uniqueCount="184">
  <si>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</si>
  <si>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</si>
  <si>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</si>
  <si>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</si>
  <si>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</si>
  <si>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F</t>
    <phoneticPr fontId="2"/>
  </si>
  <si>
    <t>G</t>
    <phoneticPr fontId="2"/>
  </si>
  <si>
    <t>H</t>
    <phoneticPr fontId="2"/>
  </si>
  <si>
    <t>I</t>
    <phoneticPr fontId="2"/>
  </si>
  <si>
    <t>J</t>
    <phoneticPr fontId="2"/>
  </si>
  <si>
    <t>K</t>
    <phoneticPr fontId="2"/>
  </si>
  <si>
    <t>L</t>
    <phoneticPr fontId="2"/>
  </si>
  <si>
    <t>M</t>
    <phoneticPr fontId="2"/>
  </si>
  <si>
    <t>N</t>
    <phoneticPr fontId="2"/>
  </si>
  <si>
    <t>O</t>
    <phoneticPr fontId="2"/>
  </si>
  <si>
    <t>P</t>
    <phoneticPr fontId="2"/>
  </si>
  <si>
    <t>Q</t>
    <phoneticPr fontId="2"/>
  </si>
  <si>
    <t>R</t>
    <phoneticPr fontId="2"/>
  </si>
  <si>
    <t>S</t>
    <phoneticPr fontId="2"/>
  </si>
  <si>
    <t>T</t>
    <phoneticPr fontId="2"/>
  </si>
  <si>
    <t>U</t>
    <phoneticPr fontId="2"/>
  </si>
  <si>
    <t>V</t>
    <phoneticPr fontId="2"/>
  </si>
  <si>
    <t>W</t>
    <phoneticPr fontId="2"/>
  </si>
  <si>
    <t>X</t>
    <phoneticPr fontId="2"/>
  </si>
  <si>
    <t>Y</t>
    <phoneticPr fontId="2"/>
  </si>
  <si>
    <t>Z</t>
    <phoneticPr fontId="2"/>
  </si>
  <si>
    <t>VO2max</t>
    <phoneticPr fontId="2"/>
  </si>
  <si>
    <t>AA</t>
    <phoneticPr fontId="2"/>
  </si>
  <si>
    <t>AB</t>
    <phoneticPr fontId="2"/>
  </si>
  <si>
    <t>AC</t>
    <phoneticPr fontId="2"/>
  </si>
  <si>
    <t>AD</t>
    <phoneticPr fontId="2"/>
  </si>
  <si>
    <t>Maruta</t>
  </si>
  <si>
    <t>Yanagisawa</t>
  </si>
  <si>
    <t>Ijima</t>
  </si>
  <si>
    <t>Yonemitsu</t>
  </si>
  <si>
    <t>Kita</t>
  </si>
  <si>
    <t>Sakai</t>
  </si>
  <si>
    <t>Hine</t>
  </si>
  <si>
    <t>Goto</t>
  </si>
  <si>
    <t>Toda</t>
  </si>
  <si>
    <t>Aoike</t>
  </si>
  <si>
    <t>Sato Rin</t>
  </si>
  <si>
    <t>Kato</t>
  </si>
  <si>
    <t>Mezaki</t>
  </si>
  <si>
    <t>Endo</t>
  </si>
  <si>
    <t>Komatsu</t>
  </si>
  <si>
    <t>Mori</t>
  </si>
  <si>
    <t>Hatori</t>
  </si>
  <si>
    <t>Takahashi</t>
  </si>
  <si>
    <t>Yokoyama</t>
  </si>
  <si>
    <t>Amano</t>
  </si>
  <si>
    <t xml:space="preserve">Shinoku </t>
  </si>
  <si>
    <t>Yamakoshi</t>
  </si>
  <si>
    <t>Sato Ryoma</t>
  </si>
  <si>
    <t>Nito</t>
  </si>
  <si>
    <t>Wahio</t>
  </si>
  <si>
    <t>time(min)</t>
  </si>
  <si>
    <t>Ave.</t>
    <phoneticPr fontId="2"/>
  </si>
  <si>
    <t>Sugisaki</t>
    <phoneticPr fontId="2"/>
  </si>
  <si>
    <t>sd</t>
    <phoneticPr fontId="2"/>
  </si>
  <si>
    <t>Shimakura</t>
    <phoneticPr fontId="2"/>
  </si>
  <si>
    <t>Ukishima</t>
    <phoneticPr fontId="2"/>
  </si>
  <si>
    <t>Hata</t>
    <phoneticPr fontId="2"/>
  </si>
  <si>
    <t>Ito</t>
    <phoneticPr fontId="2"/>
  </si>
  <si>
    <t>Trained</t>
    <phoneticPr fontId="7" type="noConversion"/>
  </si>
  <si>
    <t>Untrained</t>
    <phoneticPr fontId="7" type="noConversion"/>
  </si>
  <si>
    <t>#1</t>
    <phoneticPr fontId="7" type="noConversion"/>
  </si>
  <si>
    <t>#3</t>
  </si>
  <si>
    <t>#4</t>
  </si>
  <si>
    <t>#5</t>
  </si>
  <si>
    <t>#2</t>
    <phoneticPr fontId="7" type="noConversion"/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</si>
  <si>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</si>
  <si>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</si>
  <si>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</si>
  <si>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</si>
  <si>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</si>
  <si>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</si>
  <si>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</si>
  <si>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</si>
  <si>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</si>
  <si>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</si>
  <si>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</si>
  <si>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</si>
  <si>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</si>
  <si>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</si>
  <si>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</si>
  <si>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</si>
  <si>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</si>
  <si>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</si>
  <si>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</si>
  <si>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</si>
  <si>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</si>
  <si>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</si>
  <si>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</si>
  <si>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</si>
  <si>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</si>
  <si>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Preferred model</t>
    <phoneticPr fontId="7" type="noConversion"/>
  </si>
  <si>
    <t>Increase or suppressive</t>
    <phoneticPr fontId="7" type="noConversion"/>
  </si>
  <si>
    <t>Segmental linear regression </t>
  </si>
  <si>
    <t>Suppressive</t>
    <phoneticPr fontId="7" type="noConversion"/>
  </si>
  <si>
    <t>Increase</t>
    <phoneticPr fontId="7" type="noConversion"/>
  </si>
  <si>
    <t>Simple linear regression</t>
    <phoneticPr fontId="7" type="noConversion"/>
  </si>
  <si>
    <t>-</t>
    <phoneticPr fontId="7" type="noConversion"/>
  </si>
  <si>
    <t>UT</t>
    <phoneticPr fontId="7" type="noConversion"/>
  </si>
  <si>
    <t>T</t>
    <phoneticPr fontId="7" type="noConversion"/>
  </si>
  <si>
    <t>Segmental linear regression </t>
    <phoneticPr fontId="7" type="noConversion"/>
  </si>
  <si>
    <t>Supressive</t>
    <phoneticPr fontId="7" type="noConversion"/>
  </si>
  <si>
    <t>Untrained</t>
    <phoneticPr fontId="2"/>
  </si>
  <si>
    <t>Trained</t>
    <phoneticPr fontId="2"/>
  </si>
  <si>
    <t>Sweat rate threshold
(mg/cm2/min)</t>
    <phoneticPr fontId="7" type="noConversion"/>
  </si>
  <si>
    <t>SR</t>
    <phoneticPr fontId="2"/>
  </si>
  <si>
    <t>La</t>
    <phoneticPr fontId="2"/>
  </si>
  <si>
    <t>Mean</t>
    <phoneticPr fontId="2"/>
  </si>
  <si>
    <t>SD</t>
    <phoneticPr fontId="2"/>
  </si>
  <si>
    <t>n</t>
    <phoneticPr fontId="2"/>
  </si>
  <si>
    <r>
      <t xml:space="preserve">Slope for simple linear regression
</t>
    </r>
    <r>
      <rPr>
        <sz val="12"/>
        <color theme="1"/>
        <rFont val="Symbol"/>
        <family val="1"/>
        <charset val="2"/>
      </rPr>
      <t>m</t>
    </r>
    <r>
      <rPr>
        <sz val="12"/>
        <color theme="1"/>
        <rFont val="Arial"/>
        <family val="2"/>
      </rPr>
      <t>g/cm2/min per unit sweat rate increase</t>
    </r>
    <phoneticPr fontId="7" type="noConversion"/>
  </si>
  <si>
    <t>Breakpoint type</t>
    <phoneticPr fontId="7" type="noConversion"/>
  </si>
  <si>
    <t>Sweat rate</t>
    <rPh sb="0" eb="3">
      <t xml:space="preserve">ハッカンリョウ </t>
    </rPh>
    <phoneticPr fontId="2"/>
  </si>
  <si>
    <t>Sweat lactate</t>
    <rPh sb="0" eb="5">
      <t>アセ</t>
    </rPh>
    <phoneticPr fontId="2"/>
  </si>
  <si>
    <t>Untrained</t>
  </si>
  <si>
    <t>Trained</t>
  </si>
  <si>
    <t>Participant number</t>
    <rPh sb="0" eb="5">
      <t xml:space="preserve">ヒケンシャバンゴウ </t>
    </rPh>
    <phoneticPr fontId="2"/>
  </si>
  <si>
    <t>Maruta</t>
    <phoneticPr fontId="2"/>
  </si>
  <si>
    <t>Yanagisawa</t>
    <phoneticPr fontId="2"/>
  </si>
  <si>
    <t>Ijima</t>
    <phoneticPr fontId="2"/>
  </si>
  <si>
    <t>Yonemitsu</t>
    <phoneticPr fontId="2"/>
  </si>
  <si>
    <t>Name</t>
    <rPh sb="0" eb="2">
      <t xml:space="preserve">ナマエ </t>
    </rPh>
    <phoneticPr fontId="2"/>
  </si>
  <si>
    <t>Group</t>
    <rPh sb="0" eb="2">
      <t xml:space="preserve">クブン </t>
    </rPh>
    <phoneticPr fontId="2"/>
  </si>
  <si>
    <t>Age</t>
    <rPh sb="0" eb="2">
      <t xml:space="preserve">ネンレイ </t>
    </rPh>
    <phoneticPr fontId="2"/>
  </si>
  <si>
    <t>Height</t>
    <rPh sb="0" eb="2">
      <t xml:space="preserve">シンチョウ </t>
    </rPh>
    <phoneticPr fontId="2"/>
  </si>
  <si>
    <t>Weighe</t>
    <rPh sb="0" eb="2">
      <t xml:space="preserve">タイジュウ </t>
    </rPh>
    <phoneticPr fontId="2"/>
  </si>
  <si>
    <t>USG</t>
    <phoneticPr fontId="2"/>
  </si>
  <si>
    <t>Test</t>
  </si>
  <si>
    <t>Retest</t>
  </si>
  <si>
    <t>#1</t>
  </si>
  <si>
    <t>Increase</t>
  </si>
  <si>
    <t>#2</t>
  </si>
  <si>
    <t>Suppressive</t>
  </si>
  <si>
    <t>Simple linear regression</t>
  </si>
  <si>
    <t>-</t>
  </si>
  <si>
    <t>Straight line</t>
  </si>
  <si>
    <t>Participant number</t>
  </si>
  <si>
    <t>Name</t>
  </si>
  <si>
    <t>Group</t>
  </si>
  <si>
    <t>Age</t>
  </si>
  <si>
    <t>Height</t>
  </si>
  <si>
    <t>Weighe</t>
  </si>
  <si>
    <t>USG</t>
  </si>
  <si>
    <t>A</t>
  </si>
  <si>
    <t>test</t>
  </si>
  <si>
    <t>retest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</si>
  <si>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</si>
  <si>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</si>
  <si>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</si>
  <si>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</si>
  <si>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</si>
  <si>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</si>
  <si>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</si>
  <si>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</si>
  <si>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</si>
  <si>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</si>
  <si>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</si>
  <si>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</si>
  <si>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</si>
  <si>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</si>
  <si>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Ave.</t>
  </si>
  <si>
    <t>sd</t>
  </si>
  <si>
    <t>WANG HUI</t>
    <phoneticPr fontId="15"/>
  </si>
  <si>
    <t>CUI XIAO TIAN</t>
    <phoneticPr fontId="15"/>
  </si>
  <si>
    <t>Yitou</t>
    <phoneticPr fontId="15"/>
  </si>
  <si>
    <t>Yuito</t>
    <phoneticPr fontId="15"/>
  </si>
  <si>
    <t>Kikuno</t>
    <phoneticPr fontId="15"/>
  </si>
  <si>
    <t>WANG QIU WEI</t>
    <phoneticPr fontId="15"/>
  </si>
  <si>
    <t>TIAN TIAN</t>
    <phoneticPr fontId="15"/>
  </si>
  <si>
    <t>JIN JIAN CHRNG</t>
    <phoneticPr fontId="15"/>
  </si>
  <si>
    <t>Souya</t>
    <phoneticPr fontId="15"/>
  </si>
  <si>
    <t>YIN BING</t>
    <phoneticPr fontId="15"/>
  </si>
  <si>
    <t>HAN YU</t>
    <phoneticPr fontId="15"/>
  </si>
  <si>
    <t>MIAO YU TING</t>
    <phoneticPr fontId="15"/>
  </si>
  <si>
    <t>Endo</t>
    <phoneticPr fontId="15"/>
  </si>
  <si>
    <t>Xinaoku</t>
    <phoneticPr fontId="15"/>
  </si>
  <si>
    <t>Kondo</t>
    <phoneticPr fontId="15"/>
  </si>
  <si>
    <t>Test</t>
    <phoneticPr fontId="7" type="noConversion"/>
  </si>
  <si>
    <t>Retest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</si>
</sst>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8" x14ac:knownFonts="1"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9"/>
      <name val="游ゴシック"/>
      <family val="3"/>
      <charset val="134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Arial"/>
      <family val="2"/>
    </font>
    <font>
      <sz val="12"/>
      <color theme="1"/>
      <name val="Symbol"/>
      <family val="1"/>
      <charset val="2"/>
    </font>
    <font>
      <sz val="12"/>
      <name val="Arial"/>
      <family val="2"/>
    </font>
    <font>
      <b/>
      <sz val="18"/>
      <color theme="1"/>
      <name val="Arial"/>
      <family val="2"/>
    </font>
    <font>
      <b/>
      <sz val="12"/>
      <color rgb="FF000000"/>
      <name val="游ゴシック"/>
      <family val="3"/>
      <charset val="134"/>
      <scheme val="minor"/>
    </font>
    <font>
      <sz val="12"/>
      <color rgb="FF000000"/>
      <name val="游ゴシック"/>
      <family val="3"/>
      <charset val="134"/>
      <scheme val="minor"/>
    </font>
    <font>
      <sz val="6"/>
      <name val="游ゴシック"/>
      <family val="3"/>
      <charset val="128"/>
      <scheme val="minor"/>
    </font>
    <font>
      <sz val="12"/>
      <color rgb="FF000000"/>
      <name val="等线"/>
      <family val="2"/>
      <charset val="134"/>
    </font>
    <font>
      <sz val="12"/>
      <color rgb="FF000000"/>
      <name val="等线"/>
      <family val="3"/>
      <charset val="134"/>
    </font>
  </fonts>
  <fills count="2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E8E8E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indexed="64"/>
      </diagonal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/>
      <right style="thin">
        <color rgb="FF000000"/>
      </right>
      <top/>
      <bottom style="thin">
        <color rgb="FF000000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8" fillId="13" borderId="1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0" fillId="0" borderId="2" xfId="0" applyBorder="1">
      <alignment vertical="center"/>
    </xf>
    <xf numFmtId="0" fontId="0" fillId="6" borderId="0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6" fillId="0" borderId="2" xfId="0" applyFont="1" applyBorder="1">
      <alignment vertical="center"/>
    </xf>
    <xf numFmtId="0" fontId="6" fillId="0" borderId="4" xfId="0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 wrapText="1"/>
    </xf>
    <xf numFmtId="0" fontId="9" fillId="13" borderId="10" xfId="1" applyFont="1">
      <alignment vertical="center"/>
    </xf>
    <xf numFmtId="0" fontId="11" fillId="0" borderId="0" xfId="0" applyFont="1" applyAlignment="1"/>
    <xf numFmtId="0" fontId="11" fillId="13" borderId="10" xfId="1" applyFont="1" applyAlignment="1"/>
    <xf numFmtId="2" fontId="0" fillId="0" borderId="0" xfId="0" applyNumberFormat="1">
      <alignment vertical="center"/>
    </xf>
    <xf numFmtId="176" fontId="0" fillId="3" borderId="1" xfId="0" applyNumberFormat="1" applyFill="1" applyBorder="1">
      <alignment vertical="center"/>
    </xf>
    <xf numFmtId="176" fontId="0" fillId="3" borderId="2" xfId="0" applyNumberFormat="1" applyFill="1" applyBorder="1">
      <alignment vertical="center"/>
    </xf>
    <xf numFmtId="176" fontId="0" fillId="0" borderId="2" xfId="0" applyNumberFormat="1" applyBorder="1">
      <alignment vertical="center"/>
    </xf>
    <xf numFmtId="0" fontId="9" fillId="15" borderId="10" xfId="3" applyFont="1" applyBorder="1" applyAlignment="1"/>
    <xf numFmtId="1" fontId="0" fillId="0" borderId="0" xfId="0" applyNumberFormat="1">
      <alignment vertical="center"/>
    </xf>
    <xf numFmtId="0" fontId="13" fillId="16" borderId="11" xfId="0" applyFont="1" applyFill="1" applyBorder="1">
      <alignment vertical="center"/>
    </xf>
    <xf numFmtId="0" fontId="13" fillId="16" borderId="12" xfId="0" applyFont="1" applyFill="1" applyBorder="1" applyAlignment="1">
      <alignment horizontal="center" vertical="center"/>
    </xf>
    <xf numFmtId="0" fontId="13" fillId="16" borderId="13" xfId="0" applyFont="1" applyFill="1" applyBorder="1" applyAlignment="1">
      <alignment horizontal="center" vertical="center"/>
    </xf>
    <xf numFmtId="0" fontId="14" fillId="17" borderId="14" xfId="0" applyFont="1" applyFill="1" applyBorder="1" applyAlignment="1">
      <alignment horizontal="center" vertical="center"/>
    </xf>
    <xf numFmtId="0" fontId="14" fillId="0" borderId="15" xfId="0" applyFont="1" applyBorder="1">
      <alignment vertical="center"/>
    </xf>
    <xf numFmtId="0" fontId="14" fillId="18" borderId="16" xfId="0" applyFont="1" applyFill="1" applyBorder="1" applyAlignment="1">
      <alignment horizontal="center" vertical="center"/>
    </xf>
    <xf numFmtId="0" fontId="14" fillId="17" borderId="16" xfId="0" applyFont="1" applyFill="1" applyBorder="1">
      <alignment vertical="center"/>
    </xf>
    <xf numFmtId="0" fontId="14" fillId="17" borderId="17" xfId="0" applyFont="1" applyFill="1" applyBorder="1">
      <alignment vertical="center"/>
    </xf>
    <xf numFmtId="0" fontId="14" fillId="0" borderId="18" xfId="0" applyFont="1" applyBorder="1">
      <alignment vertical="center"/>
    </xf>
    <xf numFmtId="0" fontId="16" fillId="0" borderId="18" xfId="0" applyFont="1" applyBorder="1">
      <alignment vertical="center"/>
    </xf>
    <xf numFmtId="0" fontId="14" fillId="0" borderId="4" xfId="0" applyFont="1" applyBorder="1">
      <alignment vertical="center"/>
    </xf>
    <xf numFmtId="0" fontId="14" fillId="19" borderId="14" xfId="0" applyFont="1" applyFill="1" applyBorder="1" applyAlignment="1">
      <alignment horizontal="center" vertical="center"/>
    </xf>
    <xf numFmtId="0" fontId="14" fillId="17" borderId="19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17" fillId="0" borderId="18" xfId="0" applyFont="1" applyBorder="1">
      <alignment vertical="center"/>
    </xf>
    <xf numFmtId="0" fontId="0" fillId="20" borderId="0" xfId="0" applyFill="1">
      <alignment vertical="center"/>
    </xf>
    <xf numFmtId="0" fontId="0" fillId="21" borderId="0" xfId="0" applyFill="1">
      <alignment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9" fillId="12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9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9" fillId="14" borderId="10" xfId="2" applyFont="1" applyBorder="1" applyAlignment="1">
      <alignment horizontal="center" vertical="center" wrapText="1"/>
    </xf>
  </cellXfs>
  <cellStyles count="4">
    <cellStyle name="20% - アクセント 3" xfId="2" builtinId="38"/>
    <cellStyle name="20% - アクセント 4" xfId="3" builtinId="42"/>
    <cellStyle name="メモ" xfId="1" builtinId="10"/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'Sweat rate and Sweat lactate'!$AY$2:$AY$44</c:f>
              <c:strCache>
                <c:ptCount val="43"/>
                <c:pt idx="0">
                  <c:v>23</c:v>
                </c:pt>
                <c:pt idx="1">
                  <c:v>Takahashi</c:v>
                </c:pt>
                <c:pt idx="2">
                  <c:v>Sweat rate</c:v>
                </c:pt>
                <c:pt idx="3">
                  <c:v>1.389533183</c:v>
                </c:pt>
                <c:pt idx="4">
                  <c:v>1.301613647</c:v>
                </c:pt>
                <c:pt idx="5">
                  <c:v>1.188283471</c:v>
                </c:pt>
                <c:pt idx="6">
                  <c:v>1.001896256</c:v>
                </c:pt>
                <c:pt idx="7">
                  <c:v>0.835877599</c:v>
                </c:pt>
                <c:pt idx="8">
                  <c:v>0.654961996</c:v>
                </c:pt>
                <c:pt idx="9">
                  <c:v>0.494660291</c:v>
                </c:pt>
                <c:pt idx="10">
                  <c:v>0.385616236</c:v>
                </c:pt>
                <c:pt idx="11">
                  <c:v>0.309663339</c:v>
                </c:pt>
                <c:pt idx="12">
                  <c:v>0.245324645</c:v>
                </c:pt>
                <c:pt idx="13">
                  <c:v>0.192368832</c:v>
                </c:pt>
                <c:pt idx="14">
                  <c:v>0.150985691</c:v>
                </c:pt>
                <c:pt idx="15">
                  <c:v>0.120052524</c:v>
                </c:pt>
                <c:pt idx="16">
                  <c:v>0.095125983</c:v>
                </c:pt>
                <c:pt idx="17">
                  <c:v>0.075247303</c:v>
                </c:pt>
                <c:pt idx="18">
                  <c:v>0.061343261</c:v>
                </c:pt>
                <c:pt idx="19">
                  <c:v>0.050622567</c:v>
                </c:pt>
                <c:pt idx="20">
                  <c:v>0.042606976</c:v>
                </c:pt>
                <c:pt idx="21">
                  <c:v>0.038811175</c:v>
                </c:pt>
                <c:pt idx="22">
                  <c:v>0.046559771</c:v>
                </c:pt>
                <c:pt idx="23">
                  <c:v>0.040332777</c:v>
                </c:pt>
                <c:pt idx="24">
                  <c:v>0.030249582</c:v>
                </c:pt>
                <c:pt idx="25">
                  <c:v>0.022206214</c:v>
                </c:pt>
                <c:pt idx="26">
                  <c:v>0.02198743</c:v>
                </c:pt>
                <c:pt idx="27">
                  <c:v>0.031456145</c:v>
                </c:pt>
                <c:pt idx="28">
                  <c:v>0.069240659</c:v>
                </c:pt>
                <c:pt idx="29">
                  <c:v>0.068009821</c:v>
                </c:pt>
                <c:pt idx="30">
                  <c:v>0.032029108</c:v>
                </c:pt>
                <c:pt idx="31">
                  <c:v>0.018581457</c:v>
                </c:pt>
                <c:pt idx="32">
                  <c:v>0.012225328</c:v>
                </c:pt>
                <c:pt idx="33">
                  <c:v>0.009189594</c:v>
                </c:pt>
                <c:pt idx="34">
                  <c:v>0.006602904</c:v>
                </c:pt>
                <c:pt idx="35">
                  <c:v>0.005543155</c:v>
                </c:pt>
                <c:pt idx="36">
                  <c:v>0.004833045</c:v>
                </c:pt>
                <c:pt idx="37">
                  <c:v>0.002211261</c:v>
                </c:pt>
                <c:pt idx="38">
                  <c:v>0.000668869</c:v>
                </c:pt>
                <c:pt idx="39">
                  <c:v>0.000852943</c:v>
                </c:pt>
                <c:pt idx="40">
                  <c:v>0.004001943</c:v>
                </c:pt>
                <c:pt idx="41">
                  <c:v>0.005051808</c:v>
                </c:pt>
                <c:pt idx="42">
                  <c:v>-0.090151586</c:v>
                </c:pt>
              </c:strCache>
            </c:strRef>
          </c:xVal>
          <c:yVal>
            <c:numRef>
              <c:f>'Sweat rate and Sweat lactate'!$AZ$2:$AZ$44</c:f>
              <c:numCache>
                <c:formatCode>General</c:formatCode>
                <c:ptCount val="43"/>
                <c:pt idx="2">
                  <c:v>0</c:v>
                </c:pt>
                <c:pt idx="3">
                  <c:v>6.0879797657698482</c:v>
                </c:pt>
                <c:pt idx="4">
                  <c:v>5.8893150081200343</c:v>
                </c:pt>
                <c:pt idx="5">
                  <c:v>5.3283367203869938</c:v>
                </c:pt>
                <c:pt idx="6">
                  <c:v>4.7787898046852417</c:v>
                </c:pt>
                <c:pt idx="7">
                  <c:v>4.0510341548644284</c:v>
                </c:pt>
                <c:pt idx="8">
                  <c:v>3.0719694068911125</c:v>
                </c:pt>
                <c:pt idx="9">
                  <c:v>2.4273016250705011</c:v>
                </c:pt>
                <c:pt idx="10">
                  <c:v>1.853387842329115</c:v>
                </c:pt>
                <c:pt idx="11">
                  <c:v>1.8385872614531882</c:v>
                </c:pt>
                <c:pt idx="12">
                  <c:v>1.5343931144943976</c:v>
                </c:pt>
                <c:pt idx="13">
                  <c:v>1.1485550583635016</c:v>
                </c:pt>
                <c:pt idx="14">
                  <c:v>0.88996596726636479</c:v>
                </c:pt>
                <c:pt idx="15">
                  <c:v>0.80621630847974235</c:v>
                </c:pt>
                <c:pt idx="16">
                  <c:v>0.70249187623216325</c:v>
                </c:pt>
                <c:pt idx="17">
                  <c:v>0.73768839061346336</c:v>
                </c:pt>
                <c:pt idx="18">
                  <c:v>0.83509549879373979</c:v>
                </c:pt>
                <c:pt idx="19">
                  <c:v>0.67180772610635697</c:v>
                </c:pt>
                <c:pt idx="20">
                  <c:v>0.58348552158768108</c:v>
                </c:pt>
                <c:pt idx="21">
                  <c:v>0.57103138267748887</c:v>
                </c:pt>
                <c:pt idx="22">
                  <c:v>0.54822885502170315</c:v>
                </c:pt>
                <c:pt idx="23">
                  <c:v>0.58029680023920083</c:v>
                </c:pt>
                <c:pt idx="24">
                  <c:v>0.59888777805838278</c:v>
                </c:pt>
                <c:pt idx="25">
                  <c:v>0.53078101638594544</c:v>
                </c:pt>
                <c:pt idx="26">
                  <c:v>0.50436858918454719</c:v>
                </c:pt>
                <c:pt idx="27">
                  <c:v>0.57385914993677245</c:v>
                </c:pt>
                <c:pt idx="28">
                  <c:v>0.51333317114920052</c:v>
                </c:pt>
                <c:pt idx="29">
                  <c:v>0.58655394544283423</c:v>
                </c:pt>
                <c:pt idx="30">
                  <c:v>0.51730405778894695</c:v>
                </c:pt>
                <c:pt idx="31">
                  <c:v>0.14137824543037728</c:v>
                </c:pt>
                <c:pt idx="32">
                  <c:v>0.32351267431717434</c:v>
                </c:pt>
                <c:pt idx="33">
                  <c:v>0.41785134984098149</c:v>
                </c:pt>
                <c:pt idx="34">
                  <c:v>0.46917208071663158</c:v>
                </c:pt>
                <c:pt idx="35">
                  <c:v>0.54118954562696819</c:v>
                </c:pt>
                <c:pt idx="36">
                  <c:v>0.50653452495132245</c:v>
                </c:pt>
                <c:pt idx="37">
                  <c:v>0.44384261149713994</c:v>
                </c:pt>
                <c:pt idx="38">
                  <c:v>0.47879846281910354</c:v>
                </c:pt>
                <c:pt idx="39">
                  <c:v>0.4607489661912037</c:v>
                </c:pt>
                <c:pt idx="40">
                  <c:v>0.41712936135057527</c:v>
                </c:pt>
                <c:pt idx="41">
                  <c:v>0.41147384333447623</c:v>
                </c:pt>
                <c:pt idx="42">
                  <c:v>0.4081647865369914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2C-44D2-B650-D2CBC331E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032335"/>
        <c:axId val="373671727"/>
      </c:scatterChart>
      <c:valAx>
        <c:axId val="38003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3671727"/>
        <c:crosses val="autoZero"/>
        <c:crossBetween val="midCat"/>
      </c:valAx>
      <c:valAx>
        <c:axId val="37367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0032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'Sweat rate and Sweat lactate'!$AZ$2:$AZ$3</c:f>
              <c:strCache>
                <c:ptCount val="2"/>
                <c:pt idx="0">
                  <c:v>23</c:v>
                </c:pt>
                <c:pt idx="1">
                  <c:v>Takahashi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'Sweat rate and Sweat lactate'!$A$4:$A$44</c:f>
              <c:strCache>
                <c:ptCount val="41"/>
                <c:pt idx="0">
                  <c:v>time(min)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strCache>
            </c:strRef>
          </c:cat>
          <c:val>
            <c:numRef>
              <c:f>'Sweat rate and Sweat lactate'!$AZ$4:$AZ$44</c:f>
              <c:numCache>
                <c:formatCode>General</c:formatCode>
                <c:ptCount val="41"/>
                <c:pt idx="0">
                  <c:v>0</c:v>
                </c:pt>
                <c:pt idx="1">
                  <c:v>6.0879797657698482</c:v>
                </c:pt>
                <c:pt idx="2">
                  <c:v>5.8893150081200343</c:v>
                </c:pt>
                <c:pt idx="3">
                  <c:v>5.3283367203869938</c:v>
                </c:pt>
                <c:pt idx="4">
                  <c:v>4.7787898046852417</c:v>
                </c:pt>
                <c:pt idx="5">
                  <c:v>4.0510341548644284</c:v>
                </c:pt>
                <c:pt idx="6">
                  <c:v>3.0719694068911125</c:v>
                </c:pt>
                <c:pt idx="7">
                  <c:v>2.4273016250705011</c:v>
                </c:pt>
                <c:pt idx="8">
                  <c:v>1.853387842329115</c:v>
                </c:pt>
                <c:pt idx="9">
                  <c:v>1.8385872614531882</c:v>
                </c:pt>
                <c:pt idx="10">
                  <c:v>1.5343931144943976</c:v>
                </c:pt>
                <c:pt idx="11">
                  <c:v>1.1485550583635016</c:v>
                </c:pt>
                <c:pt idx="12">
                  <c:v>0.88996596726636479</c:v>
                </c:pt>
                <c:pt idx="13">
                  <c:v>0.80621630847974235</c:v>
                </c:pt>
                <c:pt idx="14">
                  <c:v>0.70249187623216325</c:v>
                </c:pt>
                <c:pt idx="15">
                  <c:v>0.73768839061346336</c:v>
                </c:pt>
                <c:pt idx="16">
                  <c:v>0.83509549879373979</c:v>
                </c:pt>
                <c:pt idx="17">
                  <c:v>0.67180772610635697</c:v>
                </c:pt>
                <c:pt idx="18">
                  <c:v>0.58348552158768108</c:v>
                </c:pt>
                <c:pt idx="19">
                  <c:v>0.57103138267748887</c:v>
                </c:pt>
                <c:pt idx="20">
                  <c:v>0.54822885502170315</c:v>
                </c:pt>
                <c:pt idx="21">
                  <c:v>0.58029680023920083</c:v>
                </c:pt>
                <c:pt idx="22">
                  <c:v>0.59888777805838278</c:v>
                </c:pt>
                <c:pt idx="23">
                  <c:v>0.53078101638594544</c:v>
                </c:pt>
                <c:pt idx="24">
                  <c:v>0.50436858918454719</c:v>
                </c:pt>
                <c:pt idx="25">
                  <c:v>0.57385914993677245</c:v>
                </c:pt>
                <c:pt idx="26">
                  <c:v>0.51333317114920052</c:v>
                </c:pt>
                <c:pt idx="27">
                  <c:v>0.58655394544283423</c:v>
                </c:pt>
                <c:pt idx="28">
                  <c:v>0.51730405778894695</c:v>
                </c:pt>
                <c:pt idx="29">
                  <c:v>0.14137824543037728</c:v>
                </c:pt>
                <c:pt idx="30">
                  <c:v>0.32351267431717434</c:v>
                </c:pt>
                <c:pt idx="31">
                  <c:v>0.41785134984098149</c:v>
                </c:pt>
                <c:pt idx="32">
                  <c:v>0.46917208071663158</c:v>
                </c:pt>
                <c:pt idx="33">
                  <c:v>0.54118954562696819</c:v>
                </c:pt>
                <c:pt idx="34">
                  <c:v>0.50653452495132245</c:v>
                </c:pt>
                <c:pt idx="35">
                  <c:v>0.44384261149713994</c:v>
                </c:pt>
                <c:pt idx="36">
                  <c:v>0.47879846281910354</c:v>
                </c:pt>
                <c:pt idx="37">
                  <c:v>0.4607489661912037</c:v>
                </c:pt>
                <c:pt idx="38">
                  <c:v>0.41712936135057527</c:v>
                </c:pt>
                <c:pt idx="39">
                  <c:v>0.41147384333447623</c:v>
                </c:pt>
                <c:pt idx="40">
                  <c:v>0.4081647865369914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2F-4CBA-B177-E2DE18D8D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733599"/>
        <c:axId val="457492351"/>
      </c:lineChart>
      <c:lineChart>
        <c:grouping val="standard"/>
        <c:varyColors val="0"/>
        <c:ser>
          <c:idx val="0"/>
          <c:order val="0"/>
          <c:tx>
            <c:strRef>
              <c:f>'Sweat rate and Sweat lactate'!$AY$2:$AY$3</c:f>
              <c:strCache>
                <c:ptCount val="2"/>
                <c:pt idx="0">
                  <c:v>23</c:v>
                </c:pt>
                <c:pt idx="1">
                  <c:v>Takahashi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'Sweat rate and Sweat lactate'!$A$4:$A$44</c:f>
              <c:strCache>
                <c:ptCount val="41"/>
                <c:pt idx="0">
                  <c:v>time(min)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strCache>
            </c:strRef>
          </c:cat>
          <c:val>
            <c:numRef>
              <c:f>'Sweat rate and Sweat lactate'!$AY$4:$AY$44</c:f>
              <c:numCache>
                <c:formatCode>General</c:formatCode>
                <c:ptCount val="41"/>
                <c:pt idx="0">
                  <c:v>0</c:v>
                </c:pt>
                <c:pt idx="1">
                  <c:v>1.3895331827370212</c:v>
                </c:pt>
                <c:pt idx="2">
                  <c:v>1.301613646644032</c:v>
                </c:pt>
                <c:pt idx="3">
                  <c:v>1.1882834709621206</c:v>
                </c:pt>
                <c:pt idx="4">
                  <c:v>1.0018962562787512</c:v>
                </c:pt>
                <c:pt idx="5">
                  <c:v>0.83587759914728654</c:v>
                </c:pt>
                <c:pt idx="6">
                  <c:v>0.65496199629828855</c:v>
                </c:pt>
                <c:pt idx="7">
                  <c:v>0.49466029075528956</c:v>
                </c:pt>
                <c:pt idx="8">
                  <c:v>0.38561623578958876</c:v>
                </c:pt>
                <c:pt idx="9">
                  <c:v>0.30966333948643326</c:v>
                </c:pt>
                <c:pt idx="10">
                  <c:v>0.24532464537621393</c:v>
                </c:pt>
                <c:pt idx="11">
                  <c:v>0.19236883224831958</c:v>
                </c:pt>
                <c:pt idx="12">
                  <c:v>0.15098569120318645</c:v>
                </c:pt>
                <c:pt idx="13">
                  <c:v>0.1200525238185053</c:v>
                </c:pt>
                <c:pt idx="14">
                  <c:v>9.5125982889158717E-2</c:v>
                </c:pt>
                <c:pt idx="15">
                  <c:v>7.5247302577739872E-2</c:v>
                </c:pt>
                <c:pt idx="16">
                  <c:v>6.1343260658006028E-2</c:v>
                </c:pt>
                <c:pt idx="17">
                  <c:v>5.0622567477097466E-2</c:v>
                </c:pt>
                <c:pt idx="18">
                  <c:v>4.2606975720372232E-2</c:v>
                </c:pt>
                <c:pt idx="19">
                  <c:v>3.8811174604194351E-2</c:v>
                </c:pt>
                <c:pt idx="20">
                  <c:v>4.6559771013860933E-2</c:v>
                </c:pt>
                <c:pt idx="21">
                  <c:v>4.0332776940120114E-2</c:v>
                </c:pt>
                <c:pt idx="22">
                  <c:v>3.0249582323864932E-2</c:v>
                </c:pt>
                <c:pt idx="23">
                  <c:v>2.2206213504744381E-2</c:v>
                </c:pt>
                <c:pt idx="24">
                  <c:v>2.1987429984748664E-2</c:v>
                </c:pt>
                <c:pt idx="25">
                  <c:v>3.1456145131906393E-2</c:v>
                </c:pt>
                <c:pt idx="26">
                  <c:v>6.9240659273312036E-2</c:v>
                </c:pt>
                <c:pt idx="27">
                  <c:v>6.8009821300084747E-2</c:v>
                </c:pt>
                <c:pt idx="28">
                  <c:v>3.2029108203302799E-2</c:v>
                </c:pt>
                <c:pt idx="29">
                  <c:v>1.858145679734929E-2</c:v>
                </c:pt>
                <c:pt idx="30">
                  <c:v>1.2225327746068318E-2</c:v>
                </c:pt>
                <c:pt idx="31">
                  <c:v>9.1895939407540452E-3</c:v>
                </c:pt>
                <c:pt idx="32">
                  <c:v>6.6029040090472731E-3</c:v>
                </c:pt>
                <c:pt idx="33">
                  <c:v>5.543154839561166E-3</c:v>
                </c:pt>
                <c:pt idx="34">
                  <c:v>4.8330449771246068E-3</c:v>
                </c:pt>
                <c:pt idx="35">
                  <c:v>2.2112612252752181E-3</c:v>
                </c:pt>
                <c:pt idx="36">
                  <c:v>6.6886918472451346E-4</c:v>
                </c:pt>
                <c:pt idx="37">
                  <c:v>8.529428679271481E-4</c:v>
                </c:pt>
                <c:pt idx="38">
                  <c:v>4.0019432788043277E-3</c:v>
                </c:pt>
                <c:pt idx="39">
                  <c:v>5.0518081541441086E-3</c:v>
                </c:pt>
                <c:pt idx="40">
                  <c:v>-9.0151585815933508E-2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2F-4CBA-B177-E2DE18D8D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935855"/>
        <c:axId val="457483199"/>
      </c:lineChart>
      <c:catAx>
        <c:axId val="46073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7492351"/>
        <c:crosses val="autoZero"/>
        <c:auto val="1"/>
        <c:lblAlgn val="ctr"/>
        <c:lblOffset val="100"/>
        <c:noMultiLvlLbl val="0"/>
      </c:catAx>
      <c:valAx>
        <c:axId val="45749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0733599"/>
        <c:crosses val="autoZero"/>
        <c:crossBetween val="between"/>
      </c:valAx>
      <c:valAx>
        <c:axId val="45748319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6935855"/>
        <c:crosses val="max"/>
        <c:crossBetween val="between"/>
      </c:valAx>
      <c:catAx>
        <c:axId val="4669358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7483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921312</xdr:colOff>
      <xdr:row>9</xdr:row>
      <xdr:rowOff>99296</xdr:rowOff>
    </xdr:from>
    <xdr:to>
      <xdr:col>53</xdr:col>
      <xdr:colOff>857250</xdr:colOff>
      <xdr:row>20</xdr:row>
      <xdr:rowOff>153580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C2351E5-C080-499D-8EB2-F714450FA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54</xdr:col>
      <xdr:colOff>463610</xdr:colOff>
      <xdr:row>6</xdr:row>
      <xdr:rowOff>33721</xdr:rowOff>
    </xdr:from>
    <xdr:to>
      <xdr:col>59</xdr:col>
      <xdr:colOff>399549</xdr:colOff>
      <xdr:row>17</xdr:row>
      <xdr:rowOff>88006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A04081B-481E-4BD7-9CCD-ADD8E2F16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E9A4-96D2-DB45-81BA-D2AFDDE356BC}">
  <dimension ref="A1:L35"/>
  <sheetViews>
    <sheetView zoomScale="90" zoomScaleNormal="90" workbookViewId="0">
      <selection activeCell="C22" sqref="C22"/>
    </sheetView>
  </sheetViews>
  <sheetFormatPr defaultColWidth="10.77734375" defaultRowHeight="19.5" x14ac:dyDescent="0.4"/>
  <cols>
    <col min="1" max="1" width="10.77734375" customWidth="1"/>
    <col min="2" max="2" width="9.109375" customWidth="1"/>
    <col min="3" max="3" width="12" style="1" customWidth="1"/>
    <col min="8" max="8" width="9.77734375" customWidth="1"/>
  </cols>
  <sheetData>
    <row r="1" spans="1:11" x14ac:dyDescent="0.4">
      <c r="B1" s="6" t="s">
        <v>121</v>
      </c>
      <c r="C1" s="7" t="s">
        <v>126</v>
      </c>
      <c r="D1" s="7" t="s">
        <v>127</v>
      </c>
      <c r="E1" s="7" t="s">
        <v>128</v>
      </c>
      <c r="F1" s="7" t="s">
        <v>129</v>
      </c>
      <c r="G1" s="7" t="s">
        <v>130</v>
      </c>
      <c r="H1" s="7" t="s">
        <v>131</v>
      </c>
      <c r="I1" s="24" t="s">
        <v>26</v>
      </c>
      <c r="J1" s="23"/>
      <c r="K1" s="23"/>
    </row>
    <row r="2" spans="1:11" x14ac:dyDescent="0.4">
      <c r="A2">
        <v>1</v>
      </c>
      <c r="B2" s="3" t="s">
        <v>0</v>
      </c>
      <c r="C2" s="2" t="s">
        <v>31</v>
      </c>
      <c r="D2" s="5" t="s">
        <v>119</v>
      </c>
      <c r="E2" s="2">
        <v>21</v>
      </c>
      <c r="F2" s="2">
        <v>181.1</v>
      </c>
      <c r="G2" s="2">
        <v>51.38</v>
      </c>
      <c r="H2" s="2">
        <v>1.0029999999999999</v>
      </c>
      <c r="I2" s="25">
        <v>30.537173997664461</v>
      </c>
    </row>
    <row r="3" spans="1:11" x14ac:dyDescent="0.4">
      <c r="A3">
        <v>2</v>
      </c>
      <c r="B3" s="3" t="s">
        <v>1</v>
      </c>
      <c r="C3" s="2" t="s">
        <v>32</v>
      </c>
      <c r="D3" s="5" t="s">
        <v>119</v>
      </c>
      <c r="E3" s="2">
        <v>18</v>
      </c>
      <c r="F3" s="2">
        <v>180</v>
      </c>
      <c r="G3" s="2">
        <v>57.86</v>
      </c>
      <c r="H3" s="2">
        <v>1.002</v>
      </c>
      <c r="I3" s="26">
        <v>31.674156008756771</v>
      </c>
    </row>
    <row r="4" spans="1:11" x14ac:dyDescent="0.4">
      <c r="A4">
        <v>3</v>
      </c>
      <c r="B4" s="3" t="s">
        <v>2</v>
      </c>
      <c r="C4" s="2" t="s">
        <v>33</v>
      </c>
      <c r="D4" s="5" t="s">
        <v>119</v>
      </c>
      <c r="E4" s="2">
        <v>19</v>
      </c>
      <c r="F4" s="2">
        <v>163</v>
      </c>
      <c r="G4" s="2">
        <v>54.23</v>
      </c>
      <c r="H4" s="2">
        <v>1.0249999999999999</v>
      </c>
      <c r="I4" s="25">
        <v>38.810006761325219</v>
      </c>
    </row>
    <row r="5" spans="1:11" x14ac:dyDescent="0.4">
      <c r="A5">
        <v>4</v>
      </c>
      <c r="B5" s="3" t="s">
        <v>3</v>
      </c>
      <c r="C5" s="2" t="s">
        <v>34</v>
      </c>
      <c r="D5" s="5" t="s">
        <v>119</v>
      </c>
      <c r="E5" s="2">
        <v>22</v>
      </c>
      <c r="F5" s="2">
        <v>172.9</v>
      </c>
      <c r="G5" s="2">
        <v>56.7</v>
      </c>
      <c r="H5" s="2">
        <v>1.0109999999999999</v>
      </c>
      <c r="I5" s="25">
        <v>35.179306290417401</v>
      </c>
    </row>
    <row r="6" spans="1:11" x14ac:dyDescent="0.4">
      <c r="A6">
        <v>5</v>
      </c>
      <c r="B6" s="3" t="s">
        <v>4</v>
      </c>
      <c r="C6" s="8" t="s">
        <v>60</v>
      </c>
      <c r="D6" s="5" t="s">
        <v>119</v>
      </c>
      <c r="E6" s="2">
        <v>22</v>
      </c>
      <c r="F6" s="2">
        <v>159.30000000000001</v>
      </c>
      <c r="G6" s="2">
        <v>43.86</v>
      </c>
      <c r="H6" s="2">
        <v>1.0249999999999999</v>
      </c>
      <c r="I6" s="25">
        <v>31.668602400309716</v>
      </c>
    </row>
    <row r="7" spans="1:11" x14ac:dyDescent="0.4">
      <c r="A7">
        <v>6</v>
      </c>
      <c r="B7" s="3" t="s">
        <v>5</v>
      </c>
      <c r="C7" s="8" t="s">
        <v>61</v>
      </c>
      <c r="D7" s="5" t="s">
        <v>119</v>
      </c>
      <c r="E7" s="2">
        <v>20</v>
      </c>
      <c r="F7" s="2">
        <v>171</v>
      </c>
      <c r="G7" s="2">
        <v>72.98</v>
      </c>
      <c r="H7" s="2">
        <v>1.0109999999999999</v>
      </c>
      <c r="I7" s="25">
        <v>39.323599999999999</v>
      </c>
    </row>
    <row r="8" spans="1:11" x14ac:dyDescent="0.4">
      <c r="A8">
        <v>7</v>
      </c>
      <c r="B8" s="3" t="s">
        <v>6</v>
      </c>
      <c r="C8" s="8" t="s">
        <v>35</v>
      </c>
      <c r="D8" s="5" t="s">
        <v>119</v>
      </c>
      <c r="E8" s="2">
        <v>21</v>
      </c>
      <c r="F8" s="2">
        <v>176.1</v>
      </c>
      <c r="G8" s="2">
        <v>68.760000000000005</v>
      </c>
      <c r="H8" s="2">
        <v>1.016</v>
      </c>
      <c r="I8" s="25">
        <v>28.806826541121083</v>
      </c>
    </row>
    <row r="9" spans="1:11" x14ac:dyDescent="0.4">
      <c r="A9">
        <v>8</v>
      </c>
      <c r="B9" s="3" t="s">
        <v>7</v>
      </c>
      <c r="C9" s="8" t="s">
        <v>36</v>
      </c>
      <c r="D9" s="5" t="s">
        <v>119</v>
      </c>
      <c r="E9" s="2">
        <v>22</v>
      </c>
      <c r="F9" s="2">
        <v>173.3</v>
      </c>
      <c r="G9" s="2">
        <v>61.85</v>
      </c>
      <c r="H9" s="2">
        <v>1.02</v>
      </c>
      <c r="I9" s="25">
        <v>27.252698832341924</v>
      </c>
    </row>
    <row r="10" spans="1:11" x14ac:dyDescent="0.4">
      <c r="A10">
        <v>9</v>
      </c>
      <c r="B10" s="3" t="s">
        <v>8</v>
      </c>
      <c r="C10" s="8" t="s">
        <v>37</v>
      </c>
      <c r="D10" s="5" t="s">
        <v>119</v>
      </c>
      <c r="E10" s="2">
        <v>21</v>
      </c>
      <c r="F10" s="2">
        <v>170.1</v>
      </c>
      <c r="G10" s="2">
        <v>59.48</v>
      </c>
      <c r="H10" s="2">
        <v>1.0169999999999999</v>
      </c>
      <c r="I10" s="25">
        <v>30.335126653216768</v>
      </c>
    </row>
    <row r="11" spans="1:11" x14ac:dyDescent="0.4">
      <c r="A11">
        <v>10</v>
      </c>
      <c r="B11" s="3" t="s">
        <v>9</v>
      </c>
      <c r="C11" s="8" t="s">
        <v>38</v>
      </c>
      <c r="D11" s="5" t="s">
        <v>119</v>
      </c>
      <c r="E11" s="2">
        <v>22</v>
      </c>
      <c r="F11" s="2">
        <v>175</v>
      </c>
      <c r="G11" s="2">
        <v>60.51</v>
      </c>
      <c r="H11" s="2">
        <v>1.0129999999999999</v>
      </c>
      <c r="I11" s="25">
        <v>41.541343028700489</v>
      </c>
    </row>
    <row r="12" spans="1:11" x14ac:dyDescent="0.4">
      <c r="A12">
        <v>11</v>
      </c>
      <c r="B12" s="3" t="s">
        <v>10</v>
      </c>
      <c r="C12" s="8" t="s">
        <v>62</v>
      </c>
      <c r="D12" s="5" t="s">
        <v>119</v>
      </c>
      <c r="E12" s="2">
        <v>21</v>
      </c>
      <c r="F12" s="2">
        <v>163.1</v>
      </c>
      <c r="G12" s="2">
        <v>43.05</v>
      </c>
      <c r="H12" s="2">
        <v>1.0249999999999999</v>
      </c>
      <c r="I12" s="25">
        <v>23.979868370112271</v>
      </c>
    </row>
    <row r="13" spans="1:11" x14ac:dyDescent="0.4">
      <c r="A13">
        <v>12</v>
      </c>
      <c r="B13" s="3" t="s">
        <v>11</v>
      </c>
      <c r="C13" s="8" t="s">
        <v>63</v>
      </c>
      <c r="D13" s="5" t="s">
        <v>119</v>
      </c>
      <c r="E13" s="2">
        <v>21</v>
      </c>
      <c r="F13" s="2">
        <v>161.19999999999999</v>
      </c>
      <c r="G13" s="2">
        <v>71</v>
      </c>
      <c r="H13" s="2">
        <v>1.008</v>
      </c>
      <c r="I13" s="25">
        <v>19.004694835680748</v>
      </c>
    </row>
    <row r="14" spans="1:11" x14ac:dyDescent="0.4">
      <c r="A14">
        <v>13</v>
      </c>
      <c r="B14" s="3" t="s">
        <v>12</v>
      </c>
      <c r="C14" s="8" t="s">
        <v>39</v>
      </c>
      <c r="D14" s="5" t="s">
        <v>119</v>
      </c>
      <c r="E14" s="2">
        <v>22</v>
      </c>
      <c r="F14" s="2">
        <v>166.7</v>
      </c>
      <c r="G14" s="2">
        <v>52.46</v>
      </c>
      <c r="H14" s="2">
        <v>1.0029999999999999</v>
      </c>
      <c r="I14" s="25">
        <v>22.372601347058076</v>
      </c>
    </row>
    <row r="15" spans="1:11" x14ac:dyDescent="0.4">
      <c r="A15">
        <v>14</v>
      </c>
      <c r="B15" s="3" t="s">
        <v>13</v>
      </c>
      <c r="C15" s="8" t="s">
        <v>40</v>
      </c>
      <c r="D15" s="5" t="s">
        <v>119</v>
      </c>
      <c r="E15" s="2">
        <v>20</v>
      </c>
      <c r="F15" s="2">
        <v>158.6</v>
      </c>
      <c r="G15" s="2">
        <v>50.35</v>
      </c>
      <c r="H15" s="2">
        <v>1.018</v>
      </c>
      <c r="I15" s="25">
        <v>24.620986428334991</v>
      </c>
    </row>
    <row r="16" spans="1:11" x14ac:dyDescent="0.4">
      <c r="A16">
        <v>15</v>
      </c>
      <c r="B16" s="3" t="s">
        <v>14</v>
      </c>
      <c r="C16" s="8" t="s">
        <v>41</v>
      </c>
      <c r="D16" s="5" t="s">
        <v>119</v>
      </c>
      <c r="E16" s="2">
        <v>22</v>
      </c>
      <c r="F16" s="2">
        <v>162.1</v>
      </c>
      <c r="G16" s="2">
        <v>42.1</v>
      </c>
      <c r="H16" s="2">
        <v>1.0009999999999999</v>
      </c>
      <c r="I16" s="25">
        <v>17.363420427553443</v>
      </c>
    </row>
    <row r="17" spans="1:12" x14ac:dyDescent="0.4">
      <c r="B17" s="22" t="s">
        <v>57</v>
      </c>
      <c r="C17" s="21"/>
      <c r="D17" s="20"/>
      <c r="E17" s="2">
        <f>AVERAGE(E2:E16)</f>
        <v>20.933333333333334</v>
      </c>
      <c r="F17" s="2">
        <f>AVERAGE(F2:F16)</f>
        <v>168.89999999999998</v>
      </c>
      <c r="G17" s="2">
        <f>AVERAGE(G2:G16)</f>
        <v>56.438000000000002</v>
      </c>
      <c r="H17" s="34">
        <f>AVERAGE(H2:H16)</f>
        <v>1.0131999999999999</v>
      </c>
      <c r="I17" s="25">
        <f>AVERAGE(I2:I16)</f>
        <v>29.498027461506229</v>
      </c>
    </row>
    <row r="18" spans="1:12" x14ac:dyDescent="0.4">
      <c r="B18" s="22" t="s">
        <v>59</v>
      </c>
      <c r="C18" s="21"/>
      <c r="D18" s="20"/>
      <c r="E18" s="2">
        <f>_xlfn.STDEV.P(E2:E16)</f>
        <v>1.1813363431112904</v>
      </c>
      <c r="F18" s="2">
        <f t="shared" ref="F18:I18" si="0">_xlfn.STDEV.P(F2:F16)</f>
        <v>7.2082360301717836</v>
      </c>
      <c r="G18" s="2">
        <f t="shared" si="0"/>
        <v>9.3847622594643472</v>
      </c>
      <c r="H18" s="34">
        <f t="shared" si="0"/>
        <v>8.2800966177937856E-3</v>
      </c>
      <c r="I18" s="25">
        <f t="shared" si="0"/>
        <v>7.0222787750197293</v>
      </c>
    </row>
    <row r="19" spans="1:12" x14ac:dyDescent="0.4">
      <c r="A19">
        <v>16</v>
      </c>
      <c r="B19" s="3" t="s">
        <v>15</v>
      </c>
      <c r="C19" s="8" t="s">
        <v>42</v>
      </c>
      <c r="D19" s="4" t="s">
        <v>120</v>
      </c>
      <c r="E19" s="2">
        <v>25</v>
      </c>
      <c r="F19" s="2">
        <v>167.3</v>
      </c>
      <c r="G19" s="2">
        <v>57.39</v>
      </c>
      <c r="H19" s="2">
        <v>1.008</v>
      </c>
      <c r="I19" s="25">
        <v>40.721380031364347</v>
      </c>
    </row>
    <row r="20" spans="1:12" x14ac:dyDescent="0.4">
      <c r="A20">
        <v>17</v>
      </c>
      <c r="B20" s="3" t="s">
        <v>16</v>
      </c>
      <c r="C20" s="8" t="s">
        <v>43</v>
      </c>
      <c r="D20" s="4" t="s">
        <v>120</v>
      </c>
      <c r="E20" s="2">
        <v>20</v>
      </c>
      <c r="F20" s="2">
        <v>157.4</v>
      </c>
      <c r="G20" s="2">
        <v>56.78</v>
      </c>
      <c r="H20" s="2">
        <v>1.0049999999999999</v>
      </c>
      <c r="I20" s="25">
        <v>27.850181988963246</v>
      </c>
    </row>
    <row r="21" spans="1:12" x14ac:dyDescent="0.4">
      <c r="A21">
        <v>18</v>
      </c>
      <c r="B21" s="3" t="s">
        <v>17</v>
      </c>
      <c r="C21" s="8" t="s">
        <v>58</v>
      </c>
      <c r="D21" s="4" t="s">
        <v>120</v>
      </c>
      <c r="E21" s="2">
        <v>18</v>
      </c>
      <c r="F21" s="2">
        <v>174.5</v>
      </c>
      <c r="G21" s="2">
        <v>63.472949999999997</v>
      </c>
      <c r="H21" s="2">
        <v>1.0349999999999999</v>
      </c>
      <c r="I21" s="11">
        <v>47.83707141015725</v>
      </c>
    </row>
    <row r="22" spans="1:12" x14ac:dyDescent="0.4">
      <c r="A22">
        <v>19</v>
      </c>
      <c r="B22" s="3" t="s">
        <v>18</v>
      </c>
      <c r="C22" s="8" t="s">
        <v>44</v>
      </c>
      <c r="D22" s="4" t="s">
        <v>120</v>
      </c>
      <c r="E22" s="2">
        <v>20</v>
      </c>
      <c r="F22" s="2">
        <v>170.3</v>
      </c>
      <c r="G22" s="2">
        <v>46.61186</v>
      </c>
      <c r="H22" s="2">
        <v>1.022</v>
      </c>
      <c r="I22" s="11">
        <v>51.599915236278875</v>
      </c>
    </row>
    <row r="23" spans="1:12" x14ac:dyDescent="0.4">
      <c r="A23">
        <v>20</v>
      </c>
      <c r="B23" s="3" t="s">
        <v>19</v>
      </c>
      <c r="C23" s="8" t="s">
        <v>45</v>
      </c>
      <c r="D23" s="4" t="s">
        <v>120</v>
      </c>
      <c r="E23" s="2">
        <v>19</v>
      </c>
      <c r="F23" s="2">
        <v>165.4</v>
      </c>
      <c r="G23" s="2">
        <v>57.8</v>
      </c>
      <c r="H23" s="2">
        <v>1.006</v>
      </c>
      <c r="I23" s="11">
        <v>52.666086451987233</v>
      </c>
    </row>
    <row r="24" spans="1:12" x14ac:dyDescent="0.4">
      <c r="A24">
        <v>21</v>
      </c>
      <c r="B24" s="3" t="s">
        <v>20</v>
      </c>
      <c r="C24" s="8" t="s">
        <v>46</v>
      </c>
      <c r="D24" s="4" t="s">
        <v>120</v>
      </c>
      <c r="E24" s="2">
        <v>19</v>
      </c>
      <c r="F24" s="2">
        <v>169.4</v>
      </c>
      <c r="G24" s="2">
        <v>54.530720000000002</v>
      </c>
      <c r="H24" s="2">
        <v>1.008</v>
      </c>
      <c r="I24" s="11">
        <v>50.958266165144188</v>
      </c>
    </row>
    <row r="25" spans="1:12" x14ac:dyDescent="0.4">
      <c r="A25">
        <v>22</v>
      </c>
      <c r="B25" s="3" t="s">
        <v>21</v>
      </c>
      <c r="C25" s="8" t="s">
        <v>47</v>
      </c>
      <c r="D25" s="4" t="s">
        <v>120</v>
      </c>
      <c r="E25" s="2">
        <v>22</v>
      </c>
      <c r="F25" s="2">
        <v>181.1</v>
      </c>
      <c r="G25" s="2">
        <v>63.010869999999997</v>
      </c>
      <c r="H25" s="2">
        <v>1.0329999999999999</v>
      </c>
      <c r="I25" s="11">
        <v>47.833843017329251</v>
      </c>
    </row>
    <row r="26" spans="1:12" x14ac:dyDescent="0.4">
      <c r="A26">
        <v>23</v>
      </c>
      <c r="B26" s="3" t="s">
        <v>22</v>
      </c>
      <c r="C26" s="8" t="s">
        <v>48</v>
      </c>
      <c r="D26" s="4" t="s">
        <v>120</v>
      </c>
      <c r="E26" s="2">
        <v>21</v>
      </c>
      <c r="F26" s="2">
        <v>176.1</v>
      </c>
      <c r="G26" s="2">
        <v>61.14087</v>
      </c>
      <c r="H26" s="2">
        <v>1.0089999999999999</v>
      </c>
      <c r="I26" s="11">
        <v>48.783930510314882</v>
      </c>
    </row>
    <row r="27" spans="1:12" x14ac:dyDescent="0.4">
      <c r="A27">
        <v>24</v>
      </c>
      <c r="B27" s="3" t="s">
        <v>23</v>
      </c>
      <c r="C27" s="8" t="s">
        <v>49</v>
      </c>
      <c r="D27" s="4" t="s">
        <v>120</v>
      </c>
      <c r="E27" s="2">
        <v>24</v>
      </c>
      <c r="F27" s="11">
        <v>163</v>
      </c>
      <c r="G27" s="16">
        <v>53.890650000000001</v>
      </c>
      <c r="H27" s="11">
        <v>1.024</v>
      </c>
      <c r="I27" s="11">
        <v>49.675865901092791</v>
      </c>
    </row>
    <row r="28" spans="1:12" x14ac:dyDescent="0.4">
      <c r="A28">
        <v>25</v>
      </c>
      <c r="B28" s="3" t="s">
        <v>24</v>
      </c>
      <c r="C28" s="8" t="s">
        <v>50</v>
      </c>
      <c r="D28" s="4" t="s">
        <v>120</v>
      </c>
      <c r="E28" s="2">
        <v>39</v>
      </c>
      <c r="F28" s="11">
        <v>180.4</v>
      </c>
      <c r="G28" s="17">
        <v>67.836590000000001</v>
      </c>
      <c r="H28" s="11">
        <v>1.0129999999999999</v>
      </c>
      <c r="I28" s="11">
        <v>40.027242654212884</v>
      </c>
    </row>
    <row r="29" spans="1:12" x14ac:dyDescent="0.4">
      <c r="A29">
        <v>26</v>
      </c>
      <c r="B29" s="3" t="s">
        <v>25</v>
      </c>
      <c r="C29" s="8" t="s">
        <v>51</v>
      </c>
      <c r="D29" s="4" t="s">
        <v>120</v>
      </c>
      <c r="E29" s="2">
        <v>23</v>
      </c>
      <c r="F29" s="11">
        <v>166.4</v>
      </c>
      <c r="G29" s="17">
        <v>51.648710000000001</v>
      </c>
      <c r="H29" s="11">
        <v>1.026</v>
      </c>
      <c r="I29" s="11">
        <v>47.646346901076505</v>
      </c>
      <c r="L29" s="8"/>
    </row>
    <row r="30" spans="1:12" x14ac:dyDescent="0.4">
      <c r="A30">
        <v>27</v>
      </c>
      <c r="B30" s="3" t="s">
        <v>27</v>
      </c>
      <c r="C30" s="8" t="s">
        <v>52</v>
      </c>
      <c r="D30" s="4" t="s">
        <v>120</v>
      </c>
      <c r="E30" s="2">
        <v>21</v>
      </c>
      <c r="F30" s="2">
        <v>178.9</v>
      </c>
      <c r="G30" s="2">
        <v>61.74</v>
      </c>
      <c r="H30" s="2">
        <v>1.0209999999999999</v>
      </c>
      <c r="I30" s="25">
        <v>44.379656624554585</v>
      </c>
    </row>
    <row r="31" spans="1:12" x14ac:dyDescent="0.4">
      <c r="A31">
        <v>28</v>
      </c>
      <c r="B31" s="3" t="s">
        <v>28</v>
      </c>
      <c r="C31" s="8" t="s">
        <v>53</v>
      </c>
      <c r="D31" s="4" t="s">
        <v>120</v>
      </c>
      <c r="E31" s="2">
        <v>22</v>
      </c>
      <c r="F31" s="11">
        <v>177.4</v>
      </c>
      <c r="G31" s="11">
        <v>59.749600000000001</v>
      </c>
      <c r="H31" s="11">
        <v>1.03</v>
      </c>
      <c r="I31" s="11">
        <v>53.889911326752546</v>
      </c>
    </row>
    <row r="32" spans="1:12" x14ac:dyDescent="0.4">
      <c r="A32">
        <v>29</v>
      </c>
      <c r="B32" s="3" t="s">
        <v>29</v>
      </c>
      <c r="C32" s="8" t="s">
        <v>54</v>
      </c>
      <c r="D32" s="4" t="s">
        <v>120</v>
      </c>
      <c r="E32" s="2">
        <v>18</v>
      </c>
      <c r="F32" s="11">
        <v>167.3</v>
      </c>
      <c r="G32" s="11">
        <v>56.760729999999995</v>
      </c>
      <c r="H32" s="2">
        <v>1.024</v>
      </c>
      <c r="I32" s="11">
        <v>46.144578313253014</v>
      </c>
    </row>
    <row r="33" spans="1:9" x14ac:dyDescent="0.4">
      <c r="A33">
        <v>30</v>
      </c>
      <c r="B33" s="3" t="s">
        <v>30</v>
      </c>
      <c r="C33" s="8" t="s">
        <v>55</v>
      </c>
      <c r="D33" s="13" t="s">
        <v>120</v>
      </c>
      <c r="E33" s="16">
        <v>20</v>
      </c>
      <c r="F33" s="11">
        <v>170.2</v>
      </c>
      <c r="G33" s="11">
        <v>56.998919999999998</v>
      </c>
      <c r="H33" s="11">
        <v>1.0289999999999999</v>
      </c>
      <c r="I33" s="27">
        <v>48.048000000000002</v>
      </c>
    </row>
    <row r="34" spans="1:9" x14ac:dyDescent="0.4">
      <c r="B34" s="14" t="s">
        <v>57</v>
      </c>
      <c r="C34" s="18"/>
      <c r="D34" s="19"/>
      <c r="E34" s="15">
        <f>AVERAGE(E19:E33)</f>
        <v>22.066666666666666</v>
      </c>
      <c r="F34" s="15">
        <f>AVERAGE(F19:F33)</f>
        <v>171.00666666666666</v>
      </c>
      <c r="G34" s="15">
        <f>AVERAGE(G19:G33)</f>
        <v>57.957498000000001</v>
      </c>
      <c r="H34" s="35">
        <f>AVERAGE(H19:H33)</f>
        <v>1.0195333333333332</v>
      </c>
      <c r="I34" s="15">
        <f>AVERAGE(I19:I33)</f>
        <v>46.537485102165434</v>
      </c>
    </row>
    <row r="35" spans="1:9" x14ac:dyDescent="0.4">
      <c r="B35" s="14" t="s">
        <v>59</v>
      </c>
      <c r="C35" s="18"/>
      <c r="D35" s="19"/>
      <c r="E35" s="11">
        <f>_xlfn.STDEV.P(E19:E33)</f>
        <v>4.9459298642643752</v>
      </c>
      <c r="F35" s="11">
        <f t="shared" ref="F35:H35" si="1">_xlfn.STDEV.P(F19:F33)</f>
        <v>6.6560715808116777</v>
      </c>
      <c r="G35" s="11">
        <f t="shared" si="1"/>
        <v>5.0470909156875701</v>
      </c>
      <c r="H35" s="36">
        <f t="shared" si="1"/>
        <v>1.0078800634114274E-2</v>
      </c>
      <c r="I35" s="11">
        <f>_xlfn.STDEV.P(I19:I33)</f>
        <v>6.2652603627157237</v>
      </c>
    </row>
  </sheetData>
  <phoneticPr fontId="2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AA9-FA3F-EF41-A08A-FECE487CC5C7}">
  <dimension ref="A1:BR44"/>
  <sheetViews>
    <sheetView zoomScale="70" zoomScaleNormal="7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B3" sqref="B3:C3"/>
    </sheetView>
  </sheetViews>
  <sheetFormatPr defaultColWidth="10.77734375" defaultRowHeight="19.5" x14ac:dyDescent="0.4"/>
  <cols>
    <col min="5" max="5" width="12.77734375" bestFit="1" customWidth="1"/>
    <col min="8" max="8" width="11.77734375" bestFit="1" customWidth="1"/>
    <col min="10" max="10" width="12.77734375" bestFit="1" customWidth="1"/>
    <col min="20" max="20" width="12.77734375" bestFit="1" customWidth="1"/>
  </cols>
  <sheetData>
    <row r="1" spans="1:70" x14ac:dyDescent="0.4">
      <c r="B1" s="61" t="s">
        <v>107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L1" s="61" t="s">
        <v>108</v>
      </c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</row>
    <row r="2" spans="1:70" x14ac:dyDescent="0.4">
      <c r="A2" s="8"/>
      <c r="B2" s="10">
        <v>1</v>
      </c>
      <c r="C2" s="8"/>
      <c r="D2" s="8">
        <v>2</v>
      </c>
      <c r="E2" s="8"/>
      <c r="F2" s="8">
        <v>3</v>
      </c>
      <c r="G2" s="8"/>
      <c r="H2" s="8">
        <v>4</v>
      </c>
      <c r="I2" s="8"/>
      <c r="J2" s="8">
        <v>5</v>
      </c>
      <c r="K2" s="8"/>
      <c r="L2" s="8">
        <v>6</v>
      </c>
      <c r="M2" s="8"/>
      <c r="N2" s="8">
        <v>7</v>
      </c>
      <c r="O2" s="8"/>
      <c r="P2" s="8">
        <v>8</v>
      </c>
      <c r="Q2" s="8"/>
      <c r="R2" s="8">
        <v>9</v>
      </c>
      <c r="S2" s="8"/>
      <c r="T2" s="8">
        <v>10</v>
      </c>
      <c r="U2" s="8"/>
      <c r="V2" s="8">
        <v>11</v>
      </c>
      <c r="W2" s="8"/>
      <c r="X2" s="8">
        <v>12</v>
      </c>
      <c r="Y2" s="8"/>
      <c r="Z2" s="8">
        <v>13</v>
      </c>
      <c r="AA2" s="8"/>
      <c r="AB2" s="8">
        <v>14</v>
      </c>
      <c r="AC2" s="8"/>
      <c r="AD2" s="8">
        <v>15</v>
      </c>
      <c r="AE2" s="8"/>
      <c r="AF2" s="59" t="s">
        <v>107</v>
      </c>
      <c r="AG2" s="59"/>
      <c r="AH2" s="59"/>
      <c r="AI2" s="59"/>
      <c r="AJ2" s="1"/>
      <c r="AK2" s="8">
        <v>16</v>
      </c>
      <c r="AL2" s="8"/>
      <c r="AM2" s="8">
        <v>17</v>
      </c>
      <c r="AN2" s="8"/>
      <c r="AO2" s="8">
        <v>18</v>
      </c>
      <c r="AP2" s="8"/>
      <c r="AQ2" s="8">
        <v>19</v>
      </c>
      <c r="AR2" s="8"/>
      <c r="AS2" s="8">
        <v>20</v>
      </c>
      <c r="AT2" s="8"/>
      <c r="AU2" s="8">
        <v>21</v>
      </c>
      <c r="AV2" s="8"/>
      <c r="AW2" s="8">
        <v>22</v>
      </c>
      <c r="AX2" s="8"/>
      <c r="AY2" s="8">
        <v>23</v>
      </c>
      <c r="AZ2" s="8"/>
      <c r="BA2" s="8">
        <v>24</v>
      </c>
      <c r="BB2" s="8"/>
      <c r="BC2" s="8">
        <v>25</v>
      </c>
      <c r="BD2" s="8"/>
      <c r="BE2" s="8">
        <v>26</v>
      </c>
      <c r="BF2" s="8"/>
      <c r="BG2" s="8">
        <v>27</v>
      </c>
      <c r="BH2" s="8"/>
      <c r="BI2" s="8">
        <v>28</v>
      </c>
      <c r="BJ2" s="8"/>
      <c r="BK2" s="8">
        <v>29</v>
      </c>
      <c r="BL2" s="8"/>
      <c r="BM2" s="8">
        <v>30</v>
      </c>
      <c r="BO2" s="59" t="s">
        <v>108</v>
      </c>
      <c r="BP2" s="59"/>
      <c r="BQ2" s="59"/>
      <c r="BR2" s="59"/>
    </row>
    <row r="3" spans="1:70" x14ac:dyDescent="0.4">
      <c r="A3" s="9"/>
      <c r="B3" s="56" t="s">
        <v>122</v>
      </c>
      <c r="C3" s="56"/>
      <c r="D3" s="56" t="s">
        <v>123</v>
      </c>
      <c r="E3" s="56"/>
      <c r="F3" s="56" t="s">
        <v>124</v>
      </c>
      <c r="G3" s="56"/>
      <c r="H3" s="56" t="s">
        <v>125</v>
      </c>
      <c r="I3" s="56"/>
      <c r="J3" s="56" t="s">
        <v>60</v>
      </c>
      <c r="K3" s="56"/>
      <c r="L3" s="56" t="s">
        <v>61</v>
      </c>
      <c r="M3" s="56"/>
      <c r="N3" s="56" t="s">
        <v>35</v>
      </c>
      <c r="O3" s="56"/>
      <c r="P3" s="56" t="s">
        <v>36</v>
      </c>
      <c r="Q3" s="56"/>
      <c r="R3" s="56" t="s">
        <v>37</v>
      </c>
      <c r="S3" s="56"/>
      <c r="T3" s="56" t="s">
        <v>38</v>
      </c>
      <c r="U3" s="56"/>
      <c r="V3" s="57" t="s">
        <v>62</v>
      </c>
      <c r="W3" s="57"/>
      <c r="X3" s="57" t="s">
        <v>63</v>
      </c>
      <c r="Y3" s="57"/>
      <c r="Z3" s="57" t="s">
        <v>39</v>
      </c>
      <c r="AA3" s="57"/>
      <c r="AB3" s="57" t="s">
        <v>40</v>
      </c>
      <c r="AC3" s="57"/>
      <c r="AD3" s="57" t="s">
        <v>41</v>
      </c>
      <c r="AE3" s="57"/>
      <c r="AF3" s="59" t="s">
        <v>110</v>
      </c>
      <c r="AG3" s="59"/>
      <c r="AH3" s="59" t="s">
        <v>111</v>
      </c>
      <c r="AI3" s="59"/>
      <c r="AJ3" s="1"/>
      <c r="AK3" s="60" t="s">
        <v>42</v>
      </c>
      <c r="AL3" s="60"/>
      <c r="AM3" s="60" t="s">
        <v>43</v>
      </c>
      <c r="AN3" s="60"/>
      <c r="AO3" s="58" t="s">
        <v>58</v>
      </c>
      <c r="AP3" s="58"/>
      <c r="AQ3" s="58" t="s">
        <v>44</v>
      </c>
      <c r="AR3" s="58"/>
      <c r="AS3" s="58" t="s">
        <v>45</v>
      </c>
      <c r="AT3" s="58"/>
      <c r="AU3" s="58" t="s">
        <v>46</v>
      </c>
      <c r="AV3" s="58"/>
      <c r="AW3" s="58" t="s">
        <v>47</v>
      </c>
      <c r="AX3" s="58"/>
      <c r="AY3" s="58" t="s">
        <v>48</v>
      </c>
      <c r="AZ3" s="58"/>
      <c r="BA3" s="58" t="s">
        <v>49</v>
      </c>
      <c r="BB3" s="58"/>
      <c r="BC3" s="58" t="s">
        <v>50</v>
      </c>
      <c r="BD3" s="58"/>
      <c r="BE3" s="58" t="s">
        <v>51</v>
      </c>
      <c r="BF3" s="58"/>
      <c r="BG3" s="58" t="s">
        <v>52</v>
      </c>
      <c r="BH3" s="58"/>
      <c r="BI3" s="58" t="s">
        <v>53</v>
      </c>
      <c r="BJ3" s="58"/>
      <c r="BK3" s="58" t="s">
        <v>54</v>
      </c>
      <c r="BL3" s="58"/>
      <c r="BM3" s="58" t="s">
        <v>55</v>
      </c>
      <c r="BN3" s="58"/>
      <c r="BO3" s="59" t="s">
        <v>110</v>
      </c>
      <c r="BP3" s="59"/>
      <c r="BQ3" s="59" t="s">
        <v>111</v>
      </c>
      <c r="BR3" s="59"/>
    </row>
    <row r="4" spans="1:70" x14ac:dyDescent="0.4">
      <c r="A4" s="9" t="s">
        <v>56</v>
      </c>
      <c r="B4" s="12" t="s">
        <v>117</v>
      </c>
      <c r="C4" s="12" t="s">
        <v>118</v>
      </c>
      <c r="D4" s="12" t="s">
        <v>117</v>
      </c>
      <c r="E4" s="12" t="s">
        <v>118</v>
      </c>
      <c r="F4" s="12" t="s">
        <v>117</v>
      </c>
      <c r="G4" s="12" t="s">
        <v>118</v>
      </c>
      <c r="H4" s="12" t="s">
        <v>117</v>
      </c>
      <c r="I4" s="12" t="s">
        <v>118</v>
      </c>
      <c r="J4" s="12" t="s">
        <v>117</v>
      </c>
      <c r="K4" s="12" t="s">
        <v>118</v>
      </c>
      <c r="L4" s="12" t="s">
        <v>117</v>
      </c>
      <c r="M4" s="12" t="s">
        <v>118</v>
      </c>
      <c r="N4" s="12" t="s">
        <v>117</v>
      </c>
      <c r="O4" s="12" t="s">
        <v>118</v>
      </c>
      <c r="P4" s="12" t="s">
        <v>117</v>
      </c>
      <c r="Q4" s="12" t="s">
        <v>118</v>
      </c>
      <c r="R4" s="12" t="s">
        <v>117</v>
      </c>
      <c r="S4" s="12" t="s">
        <v>118</v>
      </c>
      <c r="T4" s="12" t="s">
        <v>117</v>
      </c>
      <c r="U4" s="12" t="s">
        <v>118</v>
      </c>
      <c r="V4" s="12" t="s">
        <v>117</v>
      </c>
      <c r="W4" s="12" t="s">
        <v>118</v>
      </c>
      <c r="X4" s="12" t="s">
        <v>117</v>
      </c>
      <c r="Y4" s="12" t="s">
        <v>118</v>
      </c>
      <c r="Z4" s="12" t="s">
        <v>117</v>
      </c>
      <c r="AA4" s="12" t="s">
        <v>118</v>
      </c>
      <c r="AB4" s="12" t="s">
        <v>117</v>
      </c>
      <c r="AC4" s="12" t="s">
        <v>118</v>
      </c>
      <c r="AD4" s="12" t="s">
        <v>117</v>
      </c>
      <c r="AE4" s="12" t="s">
        <v>118</v>
      </c>
      <c r="AF4" t="s">
        <v>112</v>
      </c>
      <c r="AG4" t="s">
        <v>113</v>
      </c>
      <c r="AH4" t="s">
        <v>112</v>
      </c>
      <c r="AI4" t="s">
        <v>113</v>
      </c>
      <c r="AJ4" t="s">
        <v>114</v>
      </c>
      <c r="AK4" s="12" t="s">
        <v>117</v>
      </c>
      <c r="AL4" s="12" t="s">
        <v>118</v>
      </c>
      <c r="AM4" s="12" t="s">
        <v>117</v>
      </c>
      <c r="AN4" s="12" t="s">
        <v>118</v>
      </c>
      <c r="AO4" s="12" t="s">
        <v>117</v>
      </c>
      <c r="AP4" s="12" t="s">
        <v>118</v>
      </c>
      <c r="AQ4" s="12" t="s">
        <v>117</v>
      </c>
      <c r="AR4" s="12" t="s">
        <v>118</v>
      </c>
      <c r="AS4" s="12" t="s">
        <v>117</v>
      </c>
      <c r="AT4" s="12" t="s">
        <v>118</v>
      </c>
      <c r="AU4" s="12" t="s">
        <v>117</v>
      </c>
      <c r="AV4" s="12" t="s">
        <v>118</v>
      </c>
      <c r="AW4" s="12" t="s">
        <v>117</v>
      </c>
      <c r="AX4" s="12" t="s">
        <v>118</v>
      </c>
      <c r="AY4" s="12" t="s">
        <v>117</v>
      </c>
      <c r="AZ4" s="12" t="s">
        <v>118</v>
      </c>
      <c r="BA4" s="12" t="s">
        <v>117</v>
      </c>
      <c r="BB4" s="12" t="s">
        <v>118</v>
      </c>
      <c r="BC4" s="12" t="s">
        <v>117</v>
      </c>
      <c r="BD4" s="12" t="s">
        <v>118</v>
      </c>
      <c r="BE4" s="12" t="s">
        <v>117</v>
      </c>
      <c r="BF4" s="12" t="s">
        <v>118</v>
      </c>
      <c r="BG4" s="12" t="s">
        <v>117</v>
      </c>
      <c r="BH4" s="12" t="s">
        <v>118</v>
      </c>
      <c r="BI4" s="12" t="s">
        <v>117</v>
      </c>
      <c r="BJ4" s="12" t="s">
        <v>118</v>
      </c>
      <c r="BK4" s="12" t="s">
        <v>117</v>
      </c>
      <c r="BL4" s="12" t="s">
        <v>118</v>
      </c>
      <c r="BM4" s="12" t="s">
        <v>117</v>
      </c>
      <c r="BN4" s="12" t="s">
        <v>118</v>
      </c>
      <c r="BO4" t="s">
        <v>112</v>
      </c>
      <c r="BP4" t="s">
        <v>113</v>
      </c>
      <c r="BQ4" t="s">
        <v>112</v>
      </c>
      <c r="BR4" t="s">
        <v>113</v>
      </c>
    </row>
    <row r="5" spans="1:70" x14ac:dyDescent="0.4">
      <c r="A5">
        <v>1</v>
      </c>
      <c r="B5">
        <v>0.67263074081164176</v>
      </c>
      <c r="C5">
        <v>3.5636838850142123</v>
      </c>
      <c r="D5">
        <v>0.56548064459145542</v>
      </c>
      <c r="E5">
        <v>4.6363429001562313</v>
      </c>
      <c r="F5">
        <v>0.92939309476393184</v>
      </c>
      <c r="G5">
        <v>3.3630092038941535</v>
      </c>
      <c r="H5">
        <v>0.53471235780858473</v>
      </c>
      <c r="I5">
        <v>1.8811822687355833</v>
      </c>
      <c r="J5">
        <v>0.54860526730985304</v>
      </c>
      <c r="K5">
        <v>2.9517617473252997</v>
      </c>
      <c r="L5">
        <v>1.13980762118769</v>
      </c>
      <c r="M5">
        <v>2.1853789515127766</v>
      </c>
      <c r="N5">
        <v>0.2458842605281796</v>
      </c>
      <c r="O5">
        <v>1.0344187999591257</v>
      </c>
      <c r="P5">
        <v>0.72970384120218656</v>
      </c>
      <c r="Q5">
        <v>1.9486485333661268</v>
      </c>
      <c r="R5">
        <v>0.60318652448294152</v>
      </c>
      <c r="S5">
        <v>3.0098091659039352</v>
      </c>
      <c r="T5">
        <v>0.99493300629865156</v>
      </c>
      <c r="U5">
        <v>3.1551320926005713</v>
      </c>
      <c r="V5">
        <v>0.35357102547901442</v>
      </c>
      <c r="W5">
        <v>1.4543177473155693</v>
      </c>
      <c r="X5">
        <v>0.37321311925552425</v>
      </c>
      <c r="Y5">
        <v>1.4308248099153635</v>
      </c>
      <c r="Z5">
        <v>0.23317405960489165</v>
      </c>
      <c r="AA5">
        <v>2.2505792431231693</v>
      </c>
      <c r="AB5">
        <v>0.4121384356383837</v>
      </c>
      <c r="AC5">
        <v>1.4868093077816675</v>
      </c>
      <c r="AD5">
        <v>0.45399839807412279</v>
      </c>
      <c r="AE5">
        <v>3.6868221680282041</v>
      </c>
      <c r="AF5" s="33">
        <f t="shared" ref="AF5:AF44" si="0">AVERAGE(B5,D5,F5,H5,J5,L5,N5,P5,R5,T5,V5,X5,Z5,AB5,AD5)</f>
        <v>0.58602882646913701</v>
      </c>
      <c r="AG5" s="33">
        <f>STDEV(B5,D5,F5,H5,J5,L5,N5,P5,R5,T5,V5,X5,Z5,AB5,AD5)</f>
        <v>0.26884241132876346</v>
      </c>
      <c r="AH5" s="33">
        <f t="shared" ref="AH5:AH44" si="1">AVERAGE(C5,E5,G5,I5,K5,M5,O5,Q5,S5,U5,W5,Y5,AA5,AC5,AE5)</f>
        <v>2.5359147216421332</v>
      </c>
      <c r="AI5" s="33">
        <f>STDEV(C5,E5,G5,I5,K5,M5,O5,Q5,S5,U5,W5,Y5,AA5,AC5,AE5)</f>
        <v>1.0344685242356308</v>
      </c>
      <c r="AJ5" s="38">
        <v>15</v>
      </c>
      <c r="AK5">
        <v>1.0999834759962004</v>
      </c>
      <c r="AL5">
        <v>2.8857630157558831</v>
      </c>
      <c r="AM5">
        <v>0.5026698846087021</v>
      </c>
      <c r="AN5">
        <v>1.4458933840989601</v>
      </c>
      <c r="AO5">
        <v>0.81501437511149655</v>
      </c>
      <c r="AP5">
        <v>3.3379953628958545</v>
      </c>
      <c r="AQ5">
        <v>0.66172804180973455</v>
      </c>
      <c r="AR5">
        <v>2.9443185772170182</v>
      </c>
      <c r="AS5">
        <v>0.4805452453357551</v>
      </c>
      <c r="AT5">
        <v>2.7898249895251124</v>
      </c>
      <c r="AU5">
        <v>0.71711307059343499</v>
      </c>
      <c r="AV5">
        <v>3.8613838225362196</v>
      </c>
      <c r="AW5">
        <v>0.91461227205992057</v>
      </c>
      <c r="AX5">
        <v>2.445809524693773</v>
      </c>
      <c r="AY5">
        <v>1.3895331827370212</v>
      </c>
      <c r="AZ5">
        <v>6.0879797657698482</v>
      </c>
      <c r="BA5">
        <v>1.0972678955016846</v>
      </c>
      <c r="BB5">
        <v>3.1898498497793466</v>
      </c>
      <c r="BC5">
        <v>0.86302916101148197</v>
      </c>
      <c r="BD5">
        <v>2.9557634337955467</v>
      </c>
      <c r="BE5">
        <v>0.79920500561084074</v>
      </c>
      <c r="BF5">
        <v>3.8117072821924602</v>
      </c>
      <c r="BG5">
        <v>0.89979573290896231</v>
      </c>
      <c r="BH5">
        <v>2.9517617473253006</v>
      </c>
      <c r="BI5">
        <v>1.1848884647340026</v>
      </c>
      <c r="BJ5">
        <v>4.3917540040468053</v>
      </c>
      <c r="BK5">
        <v>1.0081981051011364</v>
      </c>
      <c r="BL5">
        <v>4.2928907249653339</v>
      </c>
      <c r="BM5">
        <v>0.98832560080706366</v>
      </c>
      <c r="BN5">
        <v>3.4154860811178231</v>
      </c>
      <c r="BO5" s="33">
        <f>AVERAGE(AK5,AM5,AO5,AQ5,AS5,AU5,AW5,AY5,BA5,BC5,BE5,BG5,BI5,BK5,BM5)</f>
        <v>0.89479396759516261</v>
      </c>
      <c r="BP5" s="33">
        <f>STDEV(AK5,AM5,AO5,AQ5,AS5,AU5,AW5,AY5,BA5,BC5,BE5,BG5,BI5,BK5,BM5)</f>
        <v>0.24810872400918516</v>
      </c>
      <c r="BQ5" s="33">
        <f>AVERAGE(AL5,AN5,AP5,AR5,AT5,AV5,AX5,AZ5,BB5,BD5,BF5,BH5,BJ5,BL5,BN5)</f>
        <v>3.3872121043810184</v>
      </c>
      <c r="BR5" s="33">
        <f>STDEV(AL5,AN5,AP5,AR5,AT5,AV5,AX5,AZ5,BB5,BD5,BF5,BH5,BJ5,BL5,BN5)</f>
        <v>1.0490101484410082</v>
      </c>
    </row>
    <row r="6" spans="1:70" x14ac:dyDescent="0.4">
      <c r="A6">
        <v>2</v>
      </c>
      <c r="B6">
        <v>0.66368383113649887</v>
      </c>
      <c r="C6">
        <v>3.543837221828213</v>
      </c>
      <c r="D6">
        <v>0.52922814834925014</v>
      </c>
      <c r="E6">
        <v>4.4323140964404999</v>
      </c>
      <c r="F6">
        <v>0.85354461891157507</v>
      </c>
      <c r="G6">
        <v>3.1450642326691165</v>
      </c>
      <c r="H6">
        <v>0.52371996057086312</v>
      </c>
      <c r="I6">
        <v>1.8722528656164932</v>
      </c>
      <c r="J6">
        <v>0.51970358850472165</v>
      </c>
      <c r="K6">
        <v>2.9464122989786992</v>
      </c>
      <c r="L6">
        <v>1.1185102533810485</v>
      </c>
      <c r="M6">
        <v>2.1473411944553917</v>
      </c>
      <c r="N6">
        <v>0.23107714480532732</v>
      </c>
      <c r="O6">
        <v>0.96120213227867868</v>
      </c>
      <c r="P6">
        <v>0.70979797138046774</v>
      </c>
      <c r="Q6">
        <v>1.8545606707491222</v>
      </c>
      <c r="R6">
        <v>0.57077881035152622</v>
      </c>
      <c r="S6">
        <v>2.8807885494284418</v>
      </c>
      <c r="T6">
        <v>0.92177436823090175</v>
      </c>
      <c r="U6">
        <v>2.8936937660010895</v>
      </c>
      <c r="V6">
        <v>0.32975368780287156</v>
      </c>
      <c r="W6">
        <v>1.415278344727245</v>
      </c>
      <c r="X6">
        <v>0.37140173346482125</v>
      </c>
      <c r="Y6">
        <v>1.4149678854087584</v>
      </c>
      <c r="Z6">
        <v>0.21695738923112645</v>
      </c>
      <c r="AA6">
        <v>2.1457931068127234</v>
      </c>
      <c r="AB6">
        <v>0.37924129265206014</v>
      </c>
      <c r="AC6">
        <v>1.4146587200652259</v>
      </c>
      <c r="AD6">
        <v>0.43314515920193852</v>
      </c>
      <c r="AE6">
        <v>3.5877821668752681</v>
      </c>
      <c r="AF6" s="33">
        <f t="shared" si="0"/>
        <v>0.55815453053166664</v>
      </c>
      <c r="AG6" s="33">
        <f t="shared" ref="AG6:AG44" si="2">STDEV(B6,D6,F6,H6,J6,L6,N6,P6,R6,T6,V6,X6,Z6,AB6,AD6)</f>
        <v>0.25764616698848525</v>
      </c>
      <c r="AH6" s="33">
        <f t="shared" si="1"/>
        <v>2.4437298168223314</v>
      </c>
      <c r="AI6" s="33">
        <f t="shared" ref="AI6:AI44" si="3">STDEV(C6,E6,G6,I6,K6,M6,O6,Q6,S6,U6,W6,Y6,AA6,AC6,AE6)</f>
        <v>0.99408482456638092</v>
      </c>
      <c r="AJ6" s="38">
        <v>15</v>
      </c>
      <c r="AK6">
        <v>1.03183613219366</v>
      </c>
      <c r="AL6">
        <v>2.7141859664011054</v>
      </c>
      <c r="AM6">
        <v>0.46920407390322794</v>
      </c>
      <c r="AN6">
        <v>1.428433199129242</v>
      </c>
      <c r="AO6">
        <v>0.77947342947088305</v>
      </c>
      <c r="AP6">
        <v>3.1788976374008699</v>
      </c>
      <c r="AQ6">
        <v>0.61371969651151415</v>
      </c>
      <c r="AR6">
        <v>2.8518156191942889</v>
      </c>
      <c r="AS6">
        <v>0.40372432062827263</v>
      </c>
      <c r="AT6">
        <v>2.5145487751758315</v>
      </c>
      <c r="AU6">
        <v>0.64141713173116655</v>
      </c>
      <c r="AV6">
        <v>3.847300290927302</v>
      </c>
      <c r="AW6">
        <v>0.86914559560977656</v>
      </c>
      <c r="AX6">
        <v>2.4100977815383691</v>
      </c>
      <c r="AY6">
        <v>1.301613646644032</v>
      </c>
      <c r="AZ6">
        <v>5.8893150081200343</v>
      </c>
      <c r="BA6">
        <v>1.0704963297799635</v>
      </c>
      <c r="BB6">
        <v>3.1203881137485925</v>
      </c>
      <c r="BC6">
        <v>0.82208170863915897</v>
      </c>
      <c r="BD6">
        <v>2.8851221150392532</v>
      </c>
      <c r="BE6">
        <v>0.76345312022584744</v>
      </c>
      <c r="BF6">
        <v>3.804384723396268</v>
      </c>
      <c r="BG6">
        <v>0.81745371811626311</v>
      </c>
      <c r="BH6">
        <v>2.9464122989786992</v>
      </c>
      <c r="BI6">
        <v>1.0801688947276249</v>
      </c>
      <c r="BJ6">
        <v>4.1290377987198452</v>
      </c>
      <c r="BK6">
        <v>0.96814861600312796</v>
      </c>
      <c r="BL6">
        <v>4.0223516211513957</v>
      </c>
      <c r="BM6">
        <v>0.88386193905746591</v>
      </c>
      <c r="BN6">
        <v>3.2233368702037164</v>
      </c>
      <c r="BO6" s="33">
        <f t="shared" ref="BO6:BO44" si="4">AVERAGE(AK6,AM6,AO6,AQ6,AS6,AU6,AW6,AY6,BA6,BC6,BE6,BG6,BI6,BK6,BM6)</f>
        <v>0.83438655688279917</v>
      </c>
      <c r="BP6" s="33">
        <f t="shared" ref="BP6:BP44" si="5">STDEV(AK6,AM6,AO6,AQ6,AS6,AU6,AW6,AY6,BA6,BC6,BE6,BG6,BI6,BK6,BM6)</f>
        <v>0.24027320276886741</v>
      </c>
      <c r="BQ6" s="33">
        <f t="shared" ref="BQ6:BQ44" si="6">AVERAGE(AL6,AN6,AP6,AR6,AT6,AV6,AX6,AZ6,BB6,BD6,BF6,BH6,BJ6,BL6,BN6)</f>
        <v>3.264375187941654</v>
      </c>
      <c r="BR6" s="33">
        <f t="shared" ref="BR6:BR44" si="7">STDEV(AL6,AN6,AP6,AR6,AT6,AV6,AX6,AZ6,BB6,BD6,BF6,BH6,BJ6,BL6,BN6)</f>
        <v>1.0090367741457593</v>
      </c>
    </row>
    <row r="7" spans="1:70" x14ac:dyDescent="0.4">
      <c r="A7">
        <v>3</v>
      </c>
      <c r="B7">
        <v>0.64076938640504899</v>
      </c>
      <c r="C7">
        <v>3.5119251591374656</v>
      </c>
      <c r="D7">
        <v>0.48361799873464878</v>
      </c>
      <c r="E7">
        <v>4.0728784785213161</v>
      </c>
      <c r="F7">
        <v>0.78603443231073167</v>
      </c>
      <c r="G7">
        <v>2.766550097823945</v>
      </c>
      <c r="H7">
        <v>0.50675283370340996</v>
      </c>
      <c r="I7">
        <v>1.7917951883553156</v>
      </c>
      <c r="J7">
        <v>0.49301170210460454</v>
      </c>
      <c r="K7">
        <v>2.8996769802276603</v>
      </c>
      <c r="L7">
        <v>0.97930207677217895</v>
      </c>
      <c r="M7">
        <v>2.0123499755293111</v>
      </c>
      <c r="N7">
        <v>0.1912619444417939</v>
      </c>
      <c r="O7">
        <v>0.860739008934713</v>
      </c>
      <c r="P7">
        <v>0.6659788349070318</v>
      </c>
      <c r="Q7">
        <v>1.6993694537759234</v>
      </c>
      <c r="R7">
        <v>0.53082314069007464</v>
      </c>
      <c r="S7">
        <v>2.7072197867442895</v>
      </c>
      <c r="T7">
        <v>0.82019280095971392</v>
      </c>
      <c r="U7">
        <v>2.2677750449296203</v>
      </c>
      <c r="V7">
        <v>0.30635267004888339</v>
      </c>
      <c r="W7">
        <v>1.3617948583078456</v>
      </c>
      <c r="X7">
        <v>0.35501527448180514</v>
      </c>
      <c r="Y7">
        <v>1.3605690338169183</v>
      </c>
      <c r="Z7">
        <v>0.19657659932966209</v>
      </c>
      <c r="AA7">
        <v>1.8369361484127638</v>
      </c>
      <c r="AB7">
        <v>0.32869438252107741</v>
      </c>
      <c r="AC7">
        <v>1.156495602357047</v>
      </c>
      <c r="AD7">
        <v>0.40617245006881286</v>
      </c>
      <c r="AE7">
        <v>3.458329769334942</v>
      </c>
      <c r="AF7" s="33">
        <f t="shared" si="0"/>
        <v>0.51270376849863186</v>
      </c>
      <c r="AG7" s="33">
        <f t="shared" si="2"/>
        <v>0.23058632062414006</v>
      </c>
      <c r="AH7" s="33">
        <f t="shared" si="1"/>
        <v>2.2509603057472716</v>
      </c>
      <c r="AI7" s="33">
        <f t="shared" si="3"/>
        <v>0.95317877332897949</v>
      </c>
      <c r="AJ7" s="38">
        <v>15</v>
      </c>
      <c r="AK7">
        <v>0.94728939872475237</v>
      </c>
      <c r="AL7">
        <v>2.4236750151357134</v>
      </c>
      <c r="AM7">
        <v>0.42890434300884051</v>
      </c>
      <c r="AN7">
        <v>1.3421178820183599</v>
      </c>
      <c r="AO7">
        <v>0.72747830231720412</v>
      </c>
      <c r="AP7">
        <v>2.9006176993038162</v>
      </c>
      <c r="AQ7">
        <v>0.5844137168599659</v>
      </c>
      <c r="AR7">
        <v>2.7219129909424833</v>
      </c>
      <c r="AS7">
        <v>0.3252558357376083</v>
      </c>
      <c r="AT7">
        <v>2.0349048869152511</v>
      </c>
      <c r="AU7">
        <v>0.56514210499287876</v>
      </c>
      <c r="AV7">
        <v>3.5628718128304646</v>
      </c>
      <c r="AW7">
        <v>0.80397616320470566</v>
      </c>
      <c r="AX7">
        <v>2.2473329220770055</v>
      </c>
      <c r="AY7">
        <v>1.1882834709621206</v>
      </c>
      <c r="AZ7">
        <v>5.3283367203869938</v>
      </c>
      <c r="BA7">
        <v>1.0234369382047401</v>
      </c>
      <c r="BB7">
        <v>2.9337398983235548</v>
      </c>
      <c r="BC7">
        <v>0.79510626036635101</v>
      </c>
      <c r="BD7">
        <v>2.7647163366053333</v>
      </c>
      <c r="BE7">
        <v>0.71540146330012466</v>
      </c>
      <c r="BF7">
        <v>3.5550597682511493</v>
      </c>
      <c r="BG7">
        <v>0.70638059438481604</v>
      </c>
      <c r="BH7">
        <v>2.8996769802276607</v>
      </c>
      <c r="BI7">
        <v>0.99413539764339454</v>
      </c>
      <c r="BJ7">
        <v>3.6395293168649498</v>
      </c>
      <c r="BK7">
        <v>0.90293463918536931</v>
      </c>
      <c r="BL7">
        <v>3.6160266202871427</v>
      </c>
      <c r="BM7">
        <v>0.75441491785427539</v>
      </c>
      <c r="BN7">
        <v>2.8810859923803362</v>
      </c>
      <c r="BO7" s="33">
        <f t="shared" si="4"/>
        <v>0.76417023644980975</v>
      </c>
      <c r="BP7" s="33">
        <f t="shared" si="5"/>
        <v>0.2298195168059696</v>
      </c>
      <c r="BQ7" s="33">
        <f t="shared" si="6"/>
        <v>2.9901069895033476</v>
      </c>
      <c r="BR7" s="33">
        <f t="shared" si="7"/>
        <v>0.90958740915957925</v>
      </c>
    </row>
    <row r="8" spans="1:70" x14ac:dyDescent="0.4">
      <c r="A8">
        <v>4</v>
      </c>
      <c r="B8">
        <v>0.59856305946010169</v>
      </c>
      <c r="C8">
        <v>3.5308975403590255</v>
      </c>
      <c r="D8">
        <v>0.4317335169780479</v>
      </c>
      <c r="E8">
        <v>3.5779806562227923</v>
      </c>
      <c r="F8">
        <v>0.69260422782739328</v>
      </c>
      <c r="G8">
        <v>2.2860689836712442</v>
      </c>
      <c r="H8">
        <v>0.48649161337179281</v>
      </c>
      <c r="I8">
        <v>1.6516709495169695</v>
      </c>
      <c r="J8">
        <v>0.46665297769425745</v>
      </c>
      <c r="K8">
        <v>2.7803560424524654</v>
      </c>
      <c r="L8">
        <v>0.85437625332722922</v>
      </c>
      <c r="M8">
        <v>1.8094954605425511</v>
      </c>
      <c r="N8">
        <v>0.16304172225579064</v>
      </c>
      <c r="O8">
        <v>0.73054445334849138</v>
      </c>
      <c r="P8">
        <v>0.62100255837545015</v>
      </c>
      <c r="Q8">
        <v>1.4882986444158515</v>
      </c>
      <c r="R8">
        <v>0.48390718175197617</v>
      </c>
      <c r="S8">
        <v>2.4093652965470729</v>
      </c>
      <c r="T8">
        <v>0.69978311604590671</v>
      </c>
      <c r="U8">
        <v>1.6717424216929011</v>
      </c>
      <c r="V8">
        <v>0.2851358941546962</v>
      </c>
      <c r="W8">
        <v>1.2448427076329478</v>
      </c>
      <c r="X8">
        <v>0.34050802412091435</v>
      </c>
      <c r="Y8">
        <v>1.2112336255279768</v>
      </c>
      <c r="Z8">
        <v>0.17494251372868194</v>
      </c>
      <c r="AA8">
        <v>1.5878918064948728</v>
      </c>
      <c r="AB8">
        <v>0.27302986197930973</v>
      </c>
      <c r="AC8">
        <v>1.1354864077103517</v>
      </c>
      <c r="AD8">
        <v>0.38181496528856218</v>
      </c>
      <c r="AE8">
        <v>3.2740809103483555</v>
      </c>
      <c r="AF8" s="33">
        <f t="shared" si="0"/>
        <v>0.463572499090674</v>
      </c>
      <c r="AG8" s="33">
        <f t="shared" si="2"/>
        <v>0.20169788705713346</v>
      </c>
      <c r="AH8" s="33">
        <f t="shared" si="1"/>
        <v>2.0259970604322586</v>
      </c>
      <c r="AI8" s="33">
        <f t="shared" si="3"/>
        <v>0.90843473320076151</v>
      </c>
      <c r="AJ8" s="38">
        <v>15</v>
      </c>
      <c r="AK8">
        <v>0.84192149940912586</v>
      </c>
      <c r="AL8">
        <v>2.0862355507853563</v>
      </c>
      <c r="AM8">
        <v>0.37724936382760449</v>
      </c>
      <c r="AN8">
        <v>1.2204597535818222</v>
      </c>
      <c r="AO8">
        <v>0.67531449077067818</v>
      </c>
      <c r="AP8">
        <v>2.6280004365058045</v>
      </c>
      <c r="AQ8">
        <v>0.56336494467903941</v>
      </c>
      <c r="AR8">
        <v>2.4025484225857525</v>
      </c>
      <c r="AS8">
        <v>0.26576645446450159</v>
      </c>
      <c r="AT8">
        <v>1.740551129633132</v>
      </c>
      <c r="AU8">
        <v>0.47157139103812373</v>
      </c>
      <c r="AV8">
        <v>3.2272914660573124</v>
      </c>
      <c r="AW8">
        <v>0.74703128671101937</v>
      </c>
      <c r="AX8">
        <v>2.1332843260282663</v>
      </c>
      <c r="AY8">
        <v>1.0018962562787512</v>
      </c>
      <c r="AZ8">
        <v>4.7787898046852417</v>
      </c>
      <c r="BA8">
        <v>0.96462306048345825</v>
      </c>
      <c r="BB8">
        <v>2.6729444015662254</v>
      </c>
      <c r="BC8">
        <v>0.73246116259527205</v>
      </c>
      <c r="BD8">
        <v>2.5268178511071269</v>
      </c>
      <c r="BE8">
        <v>0.65465534594362895</v>
      </c>
      <c r="BF8">
        <v>3.2785265913125019</v>
      </c>
      <c r="BG8">
        <v>0.6019103436159785</v>
      </c>
      <c r="BH8">
        <v>2.7803560424524667</v>
      </c>
      <c r="BI8">
        <v>0.87060713378119203</v>
      </c>
      <c r="BJ8">
        <v>3.1258244951820453</v>
      </c>
      <c r="BK8">
        <v>0.81755976024852706</v>
      </c>
      <c r="BL8">
        <v>2.996940672621907</v>
      </c>
      <c r="BM8">
        <v>0.61656653654040072</v>
      </c>
      <c r="BN8">
        <v>2.4993984618854377</v>
      </c>
      <c r="BO8" s="33">
        <f t="shared" si="4"/>
        <v>0.68016660202582024</v>
      </c>
      <c r="BP8" s="33">
        <f t="shared" si="5"/>
        <v>0.20778156101667192</v>
      </c>
      <c r="BQ8" s="33">
        <f t="shared" si="6"/>
        <v>2.6731979603993596</v>
      </c>
      <c r="BR8" s="33">
        <f t="shared" si="7"/>
        <v>0.80938070786148653</v>
      </c>
    </row>
    <row r="9" spans="1:70" x14ac:dyDescent="0.4">
      <c r="A9">
        <v>5</v>
      </c>
      <c r="B9">
        <v>0.5570162421521202</v>
      </c>
      <c r="C9">
        <v>3.3791841369342546</v>
      </c>
      <c r="D9">
        <v>0.38364466586420015</v>
      </c>
      <c r="E9">
        <v>2.9213151983500034</v>
      </c>
      <c r="F9">
        <v>0.59900711356013747</v>
      </c>
      <c r="G9">
        <v>1.7591070695426658</v>
      </c>
      <c r="H9">
        <v>0.46462688969636373</v>
      </c>
      <c r="I9">
        <v>1.5237075318020712</v>
      </c>
      <c r="J9">
        <v>0.4439297037626424</v>
      </c>
      <c r="K9">
        <v>2.6046580361516143</v>
      </c>
      <c r="L9">
        <v>0.72964900894722384</v>
      </c>
      <c r="M9">
        <v>1.6777319302999287</v>
      </c>
      <c r="N9">
        <v>0.14150941561672858</v>
      </c>
      <c r="O9">
        <v>0.60437459500249335</v>
      </c>
      <c r="P9">
        <v>0.57660011154881341</v>
      </c>
      <c r="Q9">
        <v>1.2592580324421541</v>
      </c>
      <c r="R9">
        <v>0.42490960860032595</v>
      </c>
      <c r="S9">
        <v>2.0209029733848052</v>
      </c>
      <c r="T9">
        <v>0.64644135786261414</v>
      </c>
      <c r="U9">
        <v>1.1497320073598407</v>
      </c>
      <c r="V9">
        <v>0.26296060967611434</v>
      </c>
      <c r="W9">
        <v>1.0925748414428718</v>
      </c>
      <c r="X9">
        <v>0.33210661777110678</v>
      </c>
      <c r="Y9">
        <v>1.0093994986277326</v>
      </c>
      <c r="Z9">
        <v>0.15453629978846634</v>
      </c>
      <c r="AA9">
        <v>1.2672949743924287</v>
      </c>
      <c r="AB9">
        <v>0.22607527745613562</v>
      </c>
      <c r="AC9">
        <v>0.90531727833729669</v>
      </c>
      <c r="AD9">
        <v>0.36525304087827071</v>
      </c>
      <c r="AE9">
        <v>3.0687113490280296</v>
      </c>
      <c r="AF9" s="33">
        <f t="shared" si="0"/>
        <v>0.42055106421208421</v>
      </c>
      <c r="AG9" s="33">
        <f t="shared" si="2"/>
        <v>0.1787701766983496</v>
      </c>
      <c r="AH9" s="33">
        <f t="shared" si="1"/>
        <v>1.7495512968732123</v>
      </c>
      <c r="AI9" s="33">
        <f t="shared" si="3"/>
        <v>0.8646368525708823</v>
      </c>
      <c r="AJ9" s="38">
        <v>15</v>
      </c>
      <c r="AK9">
        <v>0.73286048774777635</v>
      </c>
      <c r="AL9">
        <v>1.7871051060746161</v>
      </c>
      <c r="AM9">
        <v>0.31726356308358794</v>
      </c>
      <c r="AN9">
        <v>1.0930754244757714</v>
      </c>
      <c r="AO9">
        <v>0.62295556542575514</v>
      </c>
      <c r="AP9">
        <v>2.3518152499728147</v>
      </c>
      <c r="AQ9">
        <v>0.50957939969456767</v>
      </c>
      <c r="AR9">
        <v>1.9961272735798852</v>
      </c>
      <c r="AS9">
        <v>0.19643712754985387</v>
      </c>
      <c r="AT9">
        <v>1.3288382790387803</v>
      </c>
      <c r="AU9">
        <v>0.38472080758891736</v>
      </c>
      <c r="AV9">
        <v>2.7713952391286045</v>
      </c>
      <c r="AW9">
        <v>0.68964831976954932</v>
      </c>
      <c r="AX9">
        <v>2.0069859426836922</v>
      </c>
      <c r="AY9">
        <v>0.83587759914728654</v>
      </c>
      <c r="AZ9">
        <v>4.0510341548644284</v>
      </c>
      <c r="BA9">
        <v>0.88416983896932844</v>
      </c>
      <c r="BB9">
        <v>2.2890209966999429</v>
      </c>
      <c r="BC9">
        <v>0.65594398134377996</v>
      </c>
      <c r="BD9">
        <v>2.2117237300436137</v>
      </c>
      <c r="BE9">
        <v>0.60782227221930618</v>
      </c>
      <c r="BF9">
        <v>2.926686202901033</v>
      </c>
      <c r="BG9">
        <v>0.50162572049850174</v>
      </c>
      <c r="BH9">
        <v>2.6046580361516143</v>
      </c>
      <c r="BI9">
        <v>0.74043030411954769</v>
      </c>
      <c r="BJ9">
        <v>2.6488720289634444</v>
      </c>
      <c r="BK9">
        <v>0.70581551537604303</v>
      </c>
      <c r="BL9">
        <v>2.3084598649616117</v>
      </c>
      <c r="BM9">
        <v>0.49842226459619809</v>
      </c>
      <c r="BN9">
        <v>1.9904248744182993</v>
      </c>
      <c r="BO9" s="33">
        <f t="shared" si="4"/>
        <v>0.59223818447533338</v>
      </c>
      <c r="BP9" s="33">
        <f t="shared" si="5"/>
        <v>0.19144762191279285</v>
      </c>
      <c r="BQ9" s="33">
        <f t="shared" si="6"/>
        <v>2.2910814935972104</v>
      </c>
      <c r="BR9" s="33">
        <f t="shared" si="7"/>
        <v>0.69908053104572765</v>
      </c>
    </row>
    <row r="10" spans="1:70" x14ac:dyDescent="0.4">
      <c r="A10">
        <v>6</v>
      </c>
      <c r="B10">
        <v>0.51287264840767788</v>
      </c>
      <c r="C10">
        <v>3.1950778176967436</v>
      </c>
      <c r="D10">
        <v>0.33090657903348536</v>
      </c>
      <c r="E10">
        <v>2.5107241019799176</v>
      </c>
      <c r="F10">
        <v>0.50151234723091609</v>
      </c>
      <c r="G10">
        <v>1.2706575960987003</v>
      </c>
      <c r="H10">
        <v>0.44156494558903481</v>
      </c>
      <c r="I10">
        <v>1.3543482493772825</v>
      </c>
      <c r="J10">
        <v>0.42322987817340457</v>
      </c>
      <c r="K10">
        <v>2.4112780714882907</v>
      </c>
      <c r="L10">
        <v>0.62406061081634034</v>
      </c>
      <c r="M10">
        <v>1.4707099997383908</v>
      </c>
      <c r="N10">
        <v>0.11893488363999825</v>
      </c>
      <c r="O10">
        <v>0.49400468460210506</v>
      </c>
      <c r="P10">
        <v>0.5544480378969413</v>
      </c>
      <c r="Q10">
        <v>1.0335904732051702</v>
      </c>
      <c r="R10">
        <v>0.36824212885334895</v>
      </c>
      <c r="S10">
        <v>1.7110222959071353</v>
      </c>
      <c r="T10">
        <v>0.49195771430608326</v>
      </c>
      <c r="U10">
        <v>0.8323763546296552</v>
      </c>
      <c r="V10">
        <v>0.2395419780329805</v>
      </c>
      <c r="W10">
        <v>0.9885488455597965</v>
      </c>
      <c r="X10">
        <v>0.31556416384489583</v>
      </c>
      <c r="Y10">
        <v>0.81513837782878318</v>
      </c>
      <c r="Z10">
        <v>0.13536554662574585</v>
      </c>
      <c r="AA10">
        <v>0.98865264937960096</v>
      </c>
      <c r="AB10">
        <v>0.18525985260066993</v>
      </c>
      <c r="AC10">
        <v>0.61644082547841184</v>
      </c>
      <c r="AD10">
        <v>0.35009183255966436</v>
      </c>
      <c r="AE10">
        <v>2.7941420845890876</v>
      </c>
      <c r="AF10" s="33">
        <f t="shared" si="0"/>
        <v>0.3729035431740792</v>
      </c>
      <c r="AG10" s="33">
        <f t="shared" si="2"/>
        <v>0.15425034586063988</v>
      </c>
      <c r="AH10" s="33">
        <f t="shared" si="1"/>
        <v>1.4991141618372716</v>
      </c>
      <c r="AI10" s="33">
        <f t="shared" si="3"/>
        <v>0.84377251489528049</v>
      </c>
      <c r="AJ10" s="38">
        <v>15</v>
      </c>
      <c r="AK10">
        <v>0.62311349371695535</v>
      </c>
      <c r="AL10">
        <v>1.5245920903627452</v>
      </c>
      <c r="AM10">
        <v>0.26873435957124292</v>
      </c>
      <c r="AN10">
        <v>0.9439597302584446</v>
      </c>
      <c r="AO10">
        <v>0.55129874354459518</v>
      </c>
      <c r="AP10">
        <v>1.985518557525936</v>
      </c>
      <c r="AQ10">
        <v>0.44588385324914542</v>
      </c>
      <c r="AR10">
        <v>1.4960438648820338</v>
      </c>
      <c r="AS10">
        <v>0.15083024430675612</v>
      </c>
      <c r="AT10">
        <v>0.92161793080193977</v>
      </c>
      <c r="AU10">
        <v>0.30549865201946991</v>
      </c>
      <c r="AV10">
        <v>2.2372143304117182</v>
      </c>
      <c r="AW10">
        <v>0.61586558439637251</v>
      </c>
      <c r="AX10">
        <v>1.7953566144893738</v>
      </c>
      <c r="AY10">
        <v>0.65496199629828855</v>
      </c>
      <c r="AZ10">
        <v>3.0719694068911125</v>
      </c>
      <c r="BA10">
        <v>0.78058557962365749</v>
      </c>
      <c r="BB10">
        <v>1.9376547767684997</v>
      </c>
      <c r="BC10">
        <v>0.56114742678614105</v>
      </c>
      <c r="BD10">
        <v>1.8489285072545734</v>
      </c>
      <c r="BE10">
        <v>0.54788026016039215</v>
      </c>
      <c r="BF10">
        <v>2.462638794112999</v>
      </c>
      <c r="BG10">
        <v>0.41950913478484431</v>
      </c>
      <c r="BH10">
        <v>2.4112780714882911</v>
      </c>
      <c r="BI10">
        <v>0.62147138936808899</v>
      </c>
      <c r="BJ10">
        <v>2.1947262451626601</v>
      </c>
      <c r="BK10">
        <v>0.58782824094617003</v>
      </c>
      <c r="BL10">
        <v>1.7333177483386839</v>
      </c>
      <c r="BM10">
        <v>0.40611457476700702</v>
      </c>
      <c r="BN10">
        <v>1.4731066041577876</v>
      </c>
      <c r="BO10" s="33">
        <f t="shared" si="4"/>
        <v>0.50271490223594173</v>
      </c>
      <c r="BP10" s="33">
        <f t="shared" si="5"/>
        <v>0.16771591175917769</v>
      </c>
      <c r="BQ10" s="33">
        <f t="shared" si="6"/>
        <v>1.8691948848604529</v>
      </c>
      <c r="BR10" s="33">
        <f t="shared" si="7"/>
        <v>0.56980508079511138</v>
      </c>
    </row>
    <row r="11" spans="1:70" x14ac:dyDescent="0.4">
      <c r="A11">
        <v>7</v>
      </c>
      <c r="B11">
        <v>0.4691093658636285</v>
      </c>
      <c r="C11">
        <v>2.9959771769549963</v>
      </c>
      <c r="D11">
        <v>0.27789164180239695</v>
      </c>
      <c r="E11">
        <v>1.9624607692225242</v>
      </c>
      <c r="F11">
        <v>0.4263132169781263</v>
      </c>
      <c r="G11">
        <v>0.93348898113923073</v>
      </c>
      <c r="H11">
        <v>0.41016272297416012</v>
      </c>
      <c r="I11">
        <v>1.1941291921171224</v>
      </c>
      <c r="J11">
        <v>0.39493700777538904</v>
      </c>
      <c r="K11">
        <v>2.1836875042242463</v>
      </c>
      <c r="L11">
        <v>0.5338210944705043</v>
      </c>
      <c r="M11">
        <v>1.2307165545413208</v>
      </c>
      <c r="N11">
        <v>0.10445369247939888</v>
      </c>
      <c r="O11">
        <v>0.40783627354666735</v>
      </c>
      <c r="P11">
        <v>0.54529971236031471</v>
      </c>
      <c r="Q11">
        <v>0.86135478790230524</v>
      </c>
      <c r="R11">
        <v>0.3212914654853351</v>
      </c>
      <c r="S11">
        <v>1.472231866762004</v>
      </c>
      <c r="T11">
        <v>0.35313326855100163</v>
      </c>
      <c r="U11">
        <v>0.56213461975413226</v>
      </c>
      <c r="V11">
        <v>0.21244423157305953</v>
      </c>
      <c r="W11">
        <v>0.86263138486861557</v>
      </c>
      <c r="X11">
        <v>0.2923944577814136</v>
      </c>
      <c r="Y11">
        <v>0.64686351129371755</v>
      </c>
      <c r="Z11">
        <v>0.11633871082322676</v>
      </c>
      <c r="AA11">
        <v>0.8525147092552845</v>
      </c>
      <c r="AB11">
        <v>0.15914741625297513</v>
      </c>
      <c r="AC11">
        <v>0.48605440709870351</v>
      </c>
      <c r="AD11">
        <v>0.33337745560222293</v>
      </c>
      <c r="AE11">
        <v>2.5125913084009324</v>
      </c>
      <c r="AF11" s="33">
        <f t="shared" si="0"/>
        <v>0.33000769738487695</v>
      </c>
      <c r="AG11" s="33">
        <f t="shared" si="2"/>
        <v>0.13924583385906442</v>
      </c>
      <c r="AH11" s="33">
        <f t="shared" si="1"/>
        <v>1.2776448698054534</v>
      </c>
      <c r="AI11" s="33">
        <f t="shared" si="3"/>
        <v>0.79067877616469073</v>
      </c>
      <c r="AJ11" s="38">
        <v>15</v>
      </c>
      <c r="AK11">
        <v>0.52563223561054262</v>
      </c>
      <c r="AL11">
        <v>1.313543033869383</v>
      </c>
      <c r="AM11">
        <v>0.23229278858814104</v>
      </c>
      <c r="AN11">
        <v>0.78846073608207545</v>
      </c>
      <c r="AO11">
        <v>0.46633654160726168</v>
      </c>
      <c r="AP11">
        <v>1.7095318862702567</v>
      </c>
      <c r="AQ11">
        <v>0.38240677066669521</v>
      </c>
      <c r="AR11">
        <v>1.1465252696510395</v>
      </c>
      <c r="AS11">
        <v>0.12208055385111953</v>
      </c>
      <c r="AT11">
        <v>0.70216380525929578</v>
      </c>
      <c r="AU11">
        <v>0.24226865896432773</v>
      </c>
      <c r="AV11">
        <v>1.754101820472697</v>
      </c>
      <c r="AW11">
        <v>0.54626408817485483</v>
      </c>
      <c r="AX11">
        <v>1.6411356371523051</v>
      </c>
      <c r="AY11">
        <v>0.49466029075528956</v>
      </c>
      <c r="AZ11">
        <v>2.4273016250705011</v>
      </c>
      <c r="BA11">
        <v>0.66814024323773546</v>
      </c>
      <c r="BB11">
        <v>1.6428530075443402</v>
      </c>
      <c r="BC11">
        <v>0.48571297978563099</v>
      </c>
      <c r="BD11">
        <v>1.4917773162709198</v>
      </c>
      <c r="BE11">
        <v>0.49586440545880345</v>
      </c>
      <c r="BF11">
        <v>1.9893305391682075</v>
      </c>
      <c r="BG11">
        <v>0.35387533470861327</v>
      </c>
      <c r="BH11">
        <v>2.1836875042242472</v>
      </c>
      <c r="BI11">
        <v>0.51636583412102288</v>
      </c>
      <c r="BJ11">
        <v>1.7467168039233094</v>
      </c>
      <c r="BK11">
        <v>0.48176394130222927</v>
      </c>
      <c r="BL11">
        <v>1.302128411557202</v>
      </c>
      <c r="BM11">
        <v>0.35217995336012625</v>
      </c>
      <c r="BN11">
        <v>1.0593884947948782</v>
      </c>
      <c r="BO11" s="33">
        <f t="shared" si="4"/>
        <v>0.42438964134615959</v>
      </c>
      <c r="BP11" s="33">
        <f t="shared" si="5"/>
        <v>0.14273978213272215</v>
      </c>
      <c r="BQ11" s="33">
        <f t="shared" si="6"/>
        <v>1.5265763927540437</v>
      </c>
      <c r="BR11" s="33">
        <f t="shared" si="7"/>
        <v>0.48563169990182203</v>
      </c>
    </row>
    <row r="12" spans="1:70" x14ac:dyDescent="0.4">
      <c r="A12">
        <v>8</v>
      </c>
      <c r="B12">
        <v>0.43198335566728246</v>
      </c>
      <c r="C12">
        <v>2.8404605471840423</v>
      </c>
      <c r="D12">
        <v>0.23726119399087411</v>
      </c>
      <c r="E12">
        <v>1.4932754084915758</v>
      </c>
      <c r="F12">
        <v>0.35455738830478772</v>
      </c>
      <c r="G12">
        <v>0.74156710717835861</v>
      </c>
      <c r="H12">
        <v>0.38062434363317704</v>
      </c>
      <c r="I12">
        <v>1.0361755788671121</v>
      </c>
      <c r="J12">
        <v>0.30843564225573855</v>
      </c>
      <c r="K12">
        <v>1.964585502644645</v>
      </c>
      <c r="L12">
        <v>0.45725511460110302</v>
      </c>
      <c r="M12">
        <v>1.0801358760675803</v>
      </c>
      <c r="N12">
        <v>9.0248499994257131E-2</v>
      </c>
      <c r="O12">
        <v>0.33472673159679134</v>
      </c>
      <c r="P12">
        <v>0.5000169878515065</v>
      </c>
      <c r="Q12">
        <v>0.72652140551080024</v>
      </c>
      <c r="R12">
        <v>0.29561081167303943</v>
      </c>
      <c r="S12">
        <v>1.2497135347779396</v>
      </c>
      <c r="T12">
        <v>0.26687261102958254</v>
      </c>
      <c r="U12">
        <v>0.5015936159443225</v>
      </c>
      <c r="V12">
        <v>0.19269997431697744</v>
      </c>
      <c r="W12">
        <v>0.77278859044233705</v>
      </c>
      <c r="X12">
        <v>0.27722115804127284</v>
      </c>
      <c r="Y12">
        <v>0.51899647528739734</v>
      </c>
      <c r="Z12">
        <v>0.10243865959235908</v>
      </c>
      <c r="AA12">
        <v>0.70731158599501087</v>
      </c>
      <c r="AB12">
        <v>0.14445363554873325</v>
      </c>
      <c r="AC12">
        <v>0.35797067463974341</v>
      </c>
      <c r="AD12">
        <v>0.31179554291969569</v>
      </c>
      <c r="AE12">
        <v>2.2185147431023662</v>
      </c>
      <c r="AF12" s="33">
        <f t="shared" si="0"/>
        <v>0.29009832796135915</v>
      </c>
      <c r="AG12" s="33">
        <f t="shared" si="2"/>
        <v>0.12383107116714681</v>
      </c>
      <c r="AH12" s="33">
        <f t="shared" si="1"/>
        <v>1.1029558251820015</v>
      </c>
      <c r="AI12" s="33">
        <f t="shared" si="3"/>
        <v>0.73534932912044615</v>
      </c>
      <c r="AJ12" s="38">
        <v>15</v>
      </c>
      <c r="AK12">
        <v>0.45568363505621196</v>
      </c>
      <c r="AL12">
        <v>1.1291997677088725</v>
      </c>
      <c r="AM12">
        <v>0.2004543751641345</v>
      </c>
      <c r="AN12">
        <v>0.67877126873082005</v>
      </c>
      <c r="AO12">
        <v>0.40105398591323888</v>
      </c>
      <c r="AP12">
        <v>1.4636973048205288</v>
      </c>
      <c r="AQ12">
        <v>0.28444458315974364</v>
      </c>
      <c r="AR12">
        <v>0.98190384589482227</v>
      </c>
      <c r="AS12">
        <v>9.8972450120972263E-2</v>
      </c>
      <c r="AT12">
        <v>0.63926859018855631</v>
      </c>
      <c r="AU12">
        <v>0.19829977129571025</v>
      </c>
      <c r="AV12">
        <v>1.4127333844544463</v>
      </c>
      <c r="AW12">
        <v>0.48144656943790098</v>
      </c>
      <c r="AX12">
        <v>1.4930463303138128</v>
      </c>
      <c r="AY12">
        <v>0.38561623578958876</v>
      </c>
      <c r="AZ12">
        <v>1.853387842329115</v>
      </c>
      <c r="BA12">
        <v>0.56001549407970086</v>
      </c>
      <c r="BB12">
        <v>1.39606581358764</v>
      </c>
      <c r="BC12">
        <v>0.37593159549218802</v>
      </c>
      <c r="BD12">
        <v>1.1988344196661702</v>
      </c>
      <c r="BE12">
        <v>0.41310508261228635</v>
      </c>
      <c r="BF12">
        <v>1.6726670083175399</v>
      </c>
      <c r="BG12">
        <v>0.30592123099389723</v>
      </c>
      <c r="BH12">
        <v>1.9645855026446446</v>
      </c>
      <c r="BI12">
        <v>0.45840731238670196</v>
      </c>
      <c r="BJ12">
        <v>1.4117601523312655</v>
      </c>
      <c r="BK12">
        <v>0.38892682479678398</v>
      </c>
      <c r="BL12">
        <v>0.95405097405918671</v>
      </c>
      <c r="BM12">
        <v>0.32275724267365469</v>
      </c>
      <c r="BN12">
        <v>0.8182975166601959</v>
      </c>
      <c r="BO12" s="33">
        <f t="shared" si="4"/>
        <v>0.35540242593151433</v>
      </c>
      <c r="BP12" s="33">
        <f t="shared" si="5"/>
        <v>0.12226651695874476</v>
      </c>
      <c r="BQ12" s="33">
        <f t="shared" si="6"/>
        <v>1.271217981447174</v>
      </c>
      <c r="BR12" s="33">
        <f t="shared" si="7"/>
        <v>0.40423292496028329</v>
      </c>
    </row>
    <row r="13" spans="1:70" x14ac:dyDescent="0.4">
      <c r="A13">
        <v>9</v>
      </c>
      <c r="B13">
        <v>0.40162842947520461</v>
      </c>
      <c r="C13">
        <v>2.6356114265263622</v>
      </c>
      <c r="D13">
        <v>0.20093910945056198</v>
      </c>
      <c r="E13">
        <v>1.2497884772043626</v>
      </c>
      <c r="F13">
        <v>0.29170011343683927</v>
      </c>
      <c r="G13">
        <v>0.5328622785942293</v>
      </c>
      <c r="H13">
        <v>0.35097480419613619</v>
      </c>
      <c r="I13">
        <v>0.81188656282006899</v>
      </c>
      <c r="J13">
        <v>0.27984173155680075</v>
      </c>
      <c r="K13">
        <v>1.7674577576339665</v>
      </c>
      <c r="L13">
        <v>0.39055820668298885</v>
      </c>
      <c r="M13">
        <v>0.94635248986502318</v>
      </c>
      <c r="N13">
        <v>6.487265232547576E-2</v>
      </c>
      <c r="O13">
        <v>0.26955540604408534</v>
      </c>
      <c r="P13">
        <v>0.43288980279231021</v>
      </c>
      <c r="Q13">
        <v>0.62049347393494114</v>
      </c>
      <c r="R13">
        <v>0.24989598470209218</v>
      </c>
      <c r="S13">
        <v>1.0178587563418815</v>
      </c>
      <c r="T13">
        <v>0.24454432924800221</v>
      </c>
      <c r="U13">
        <v>0.39174057674469853</v>
      </c>
      <c r="V13">
        <v>0.17637468983014318</v>
      </c>
      <c r="W13">
        <v>0.65564669226759742</v>
      </c>
      <c r="X13">
        <v>0.25914451853747311</v>
      </c>
      <c r="Y13">
        <v>0.43533748421610852</v>
      </c>
      <c r="Z13">
        <v>9.0819328777248437E-2</v>
      </c>
      <c r="AA13">
        <v>0.52787376261418983</v>
      </c>
      <c r="AB13">
        <v>0.12442791108910251</v>
      </c>
      <c r="AC13">
        <v>0.35731276850137111</v>
      </c>
      <c r="AD13">
        <v>0.29316733460473821</v>
      </c>
      <c r="AE13">
        <v>1.9088616782714674</v>
      </c>
      <c r="AF13" s="33">
        <f t="shared" si="0"/>
        <v>0.2567852631136745</v>
      </c>
      <c r="AG13" s="33">
        <f t="shared" si="2"/>
        <v>0.11132791220669537</v>
      </c>
      <c r="AH13" s="33">
        <f t="shared" si="1"/>
        <v>0.94190930610535684</v>
      </c>
      <c r="AI13" s="33">
        <f t="shared" si="3"/>
        <v>0.68032294908186219</v>
      </c>
      <c r="AJ13" s="38">
        <v>15</v>
      </c>
      <c r="AK13">
        <v>0.39872939608797259</v>
      </c>
      <c r="AL13">
        <v>0.97782153446316789</v>
      </c>
      <c r="AM13">
        <v>0.17236642744094771</v>
      </c>
      <c r="AN13">
        <v>0.58750421180557233</v>
      </c>
      <c r="AO13">
        <v>0.33105399420479836</v>
      </c>
      <c r="AP13">
        <v>1.2205895725786917</v>
      </c>
      <c r="AQ13">
        <v>0.2339705380251052</v>
      </c>
      <c r="AR13">
        <v>0.76279506559128907</v>
      </c>
      <c r="AS13">
        <v>9.1489631016856532E-2</v>
      </c>
      <c r="AT13">
        <v>0.5505048589293734</v>
      </c>
      <c r="AU13">
        <v>0.16494158638884204</v>
      </c>
      <c r="AV13">
        <v>1.1436212992542281</v>
      </c>
      <c r="AW13">
        <v>0.42785988294024363</v>
      </c>
      <c r="AX13">
        <v>1.2911467686696074</v>
      </c>
      <c r="AY13">
        <v>0.30966333948643326</v>
      </c>
      <c r="AZ13">
        <v>1.8385872614531882</v>
      </c>
      <c r="BA13">
        <v>0.46782789825916449</v>
      </c>
      <c r="BB13">
        <v>1.4142282775472044</v>
      </c>
      <c r="BC13">
        <v>0.31254455821282701</v>
      </c>
      <c r="BD13">
        <v>1.0006261084925063</v>
      </c>
      <c r="BE13">
        <v>0.34378602024354937</v>
      </c>
      <c r="BF13">
        <v>1.3992207409347488</v>
      </c>
      <c r="BG13">
        <v>0.26660946196785879</v>
      </c>
      <c r="BH13">
        <v>1.7674577576339665</v>
      </c>
      <c r="BI13">
        <v>0.46632511453558045</v>
      </c>
      <c r="BJ13">
        <v>1.2442600191097049</v>
      </c>
      <c r="BK13">
        <v>0.31387209788396242</v>
      </c>
      <c r="BL13">
        <v>0.7158037863812623</v>
      </c>
      <c r="BM13">
        <v>0.26427570462774963</v>
      </c>
      <c r="BN13">
        <v>0.64915160300037433</v>
      </c>
      <c r="BO13" s="33">
        <f t="shared" si="4"/>
        <v>0.30435437675479277</v>
      </c>
      <c r="BP13" s="33">
        <f t="shared" si="5"/>
        <v>0.11010545266168642</v>
      </c>
      <c r="BQ13" s="33">
        <f t="shared" si="6"/>
        <v>1.1042212577229924</v>
      </c>
      <c r="BR13" s="33">
        <f t="shared" si="7"/>
        <v>0.40591929591782971</v>
      </c>
    </row>
    <row r="14" spans="1:70" x14ac:dyDescent="0.4">
      <c r="A14">
        <v>10</v>
      </c>
      <c r="B14">
        <v>0.36819830274311638</v>
      </c>
      <c r="C14">
        <v>2.3770800563920567</v>
      </c>
      <c r="D14">
        <v>0.16894917452635111</v>
      </c>
      <c r="E14">
        <v>1.1246220864163365</v>
      </c>
      <c r="F14">
        <v>0.24618253750540259</v>
      </c>
      <c r="G14">
        <v>0.3926114694482653</v>
      </c>
      <c r="H14">
        <v>0.31806011833436254</v>
      </c>
      <c r="I14">
        <v>0.68888556087293829</v>
      </c>
      <c r="J14">
        <v>0.25641065725042189</v>
      </c>
      <c r="K14">
        <v>1.5721558427701399</v>
      </c>
      <c r="L14">
        <v>0.32882039002314556</v>
      </c>
      <c r="M14">
        <v>0.81908322693513491</v>
      </c>
      <c r="N14">
        <v>5.2688057771793723E-2</v>
      </c>
      <c r="O14">
        <v>0.23596504176592875</v>
      </c>
      <c r="P14">
        <v>0.40636539328344529</v>
      </c>
      <c r="Q14">
        <v>0.52795782617487352</v>
      </c>
      <c r="R14">
        <v>0.2113563085240773</v>
      </c>
      <c r="S14">
        <v>0.89584044594650047</v>
      </c>
      <c r="T14">
        <v>0.23614429343516594</v>
      </c>
      <c r="U14">
        <v>0.35223894625361479</v>
      </c>
      <c r="V14">
        <v>0.16521062591409938</v>
      </c>
      <c r="W14">
        <v>0.62784950474742318</v>
      </c>
      <c r="X14">
        <v>0.24003421695504196</v>
      </c>
      <c r="Y14">
        <v>0.37078882633562155</v>
      </c>
      <c r="Z14">
        <v>8.9365771352835521E-2</v>
      </c>
      <c r="AA14">
        <v>0.45614508881792748</v>
      </c>
      <c r="AB14">
        <v>0.11828181033175977</v>
      </c>
      <c r="AC14">
        <v>0.31612772545940371</v>
      </c>
      <c r="AD14">
        <v>0.27431739356951879</v>
      </c>
      <c r="AE14">
        <v>1.6677628873101622</v>
      </c>
      <c r="AF14" s="33">
        <f t="shared" si="0"/>
        <v>0.23202567010136912</v>
      </c>
      <c r="AG14" s="33">
        <f t="shared" si="2"/>
        <v>0.1009578454352895</v>
      </c>
      <c r="AH14" s="33">
        <f t="shared" si="1"/>
        <v>0.8283409690430884</v>
      </c>
      <c r="AI14" s="33">
        <f t="shared" si="3"/>
        <v>0.61391427134455701</v>
      </c>
      <c r="AJ14" s="38">
        <v>15</v>
      </c>
      <c r="AK14">
        <v>0.35024864144994461</v>
      </c>
      <c r="AL14">
        <v>0.85859976829639806</v>
      </c>
      <c r="AM14">
        <v>0.14726503276613664</v>
      </c>
      <c r="AN14">
        <v>0.50612891558210793</v>
      </c>
      <c r="AO14">
        <v>0.28089062460250452</v>
      </c>
      <c r="AP14">
        <v>1.0134637458356428</v>
      </c>
      <c r="AQ14">
        <v>0.2329547359169358</v>
      </c>
      <c r="AR14">
        <v>0.60358375552415577</v>
      </c>
      <c r="AS14">
        <v>8.1443131038197142E-2</v>
      </c>
      <c r="AT14">
        <v>0.55401528595699623</v>
      </c>
      <c r="AU14">
        <v>0.13738344879563816</v>
      </c>
      <c r="AV14">
        <v>0.90196578941620975</v>
      </c>
      <c r="AW14">
        <v>0.3809528909323493</v>
      </c>
      <c r="AX14">
        <v>1.100728874362999</v>
      </c>
      <c r="AY14">
        <v>0.24532464537621393</v>
      </c>
      <c r="AZ14">
        <v>1.5343931144943976</v>
      </c>
      <c r="BA14">
        <v>0.38778088588563231</v>
      </c>
      <c r="BB14">
        <v>1.0267303415442219</v>
      </c>
      <c r="BC14">
        <v>0.26774662874322702</v>
      </c>
      <c r="BD14">
        <v>0.84447488665935311</v>
      </c>
      <c r="BE14">
        <v>0.28224438002750596</v>
      </c>
      <c r="BF14">
        <v>1.356505975432861</v>
      </c>
      <c r="BG14">
        <v>0.22903510673816699</v>
      </c>
      <c r="BH14">
        <v>1.5721558427701396</v>
      </c>
      <c r="BI14">
        <v>0.3843946432027423</v>
      </c>
      <c r="BJ14">
        <v>1.0210427700392495</v>
      </c>
      <c r="BK14">
        <v>0.25330348742984737</v>
      </c>
      <c r="BL14">
        <v>0.51120973331425335</v>
      </c>
      <c r="BM14">
        <v>0.22380833630230021</v>
      </c>
      <c r="BN14">
        <v>0.48212170880019012</v>
      </c>
      <c r="BO14" s="33">
        <f t="shared" si="4"/>
        <v>0.25898510794715618</v>
      </c>
      <c r="BP14" s="33">
        <f t="shared" si="5"/>
        <v>9.1977891617884333E-2</v>
      </c>
      <c r="BQ14" s="33">
        <f t="shared" si="6"/>
        <v>0.92580803386861166</v>
      </c>
      <c r="BR14" s="33">
        <f t="shared" si="7"/>
        <v>0.36152617809893955</v>
      </c>
    </row>
    <row r="15" spans="1:70" x14ac:dyDescent="0.4">
      <c r="A15">
        <v>11</v>
      </c>
      <c r="B15">
        <v>0.33524877931182739</v>
      </c>
      <c r="C15">
        <v>2.1518596317465017</v>
      </c>
      <c r="D15">
        <v>0.14199675420292746</v>
      </c>
      <c r="E15">
        <v>0.83675820202002693</v>
      </c>
      <c r="F15">
        <v>0.20471245397544865</v>
      </c>
      <c r="G15">
        <v>0.31807581572341159</v>
      </c>
      <c r="H15">
        <v>0.28482164719975284</v>
      </c>
      <c r="I15">
        <v>0.58026181142449673</v>
      </c>
      <c r="J15">
        <v>0.23505514027971661</v>
      </c>
      <c r="K15">
        <v>1.4654877800941335</v>
      </c>
      <c r="L15">
        <v>0.27147685818055767</v>
      </c>
      <c r="M15">
        <v>0.72792125867905477</v>
      </c>
      <c r="N15">
        <v>4.9702245746517749E-2</v>
      </c>
      <c r="O15">
        <v>0.19875347174704711</v>
      </c>
      <c r="P15">
        <v>0.36047879172183794</v>
      </c>
      <c r="Q15">
        <v>0.4569740344388824</v>
      </c>
      <c r="R15">
        <v>0.184742304785081</v>
      </c>
      <c r="S15">
        <v>0.80534372857170955</v>
      </c>
      <c r="T15">
        <v>0.24286454845658084</v>
      </c>
      <c r="U15">
        <v>0.32669500009018515</v>
      </c>
      <c r="V15">
        <v>0.15129975921177205</v>
      </c>
      <c r="W15">
        <v>0.53734263104442737</v>
      </c>
      <c r="X15">
        <v>0.23262939433434893</v>
      </c>
      <c r="Y15">
        <v>0.32171435320265063</v>
      </c>
      <c r="Z15">
        <v>8.2873948418083904E-2</v>
      </c>
      <c r="AA15">
        <v>0.3055284703915635</v>
      </c>
      <c r="AB15">
        <v>0.13562855212153177</v>
      </c>
      <c r="AC15">
        <v>0.21555552302973574</v>
      </c>
      <c r="AD15">
        <v>0.25556164535780079</v>
      </c>
      <c r="AE15">
        <v>1.5073921646987407</v>
      </c>
      <c r="AF15" s="33">
        <f t="shared" si="0"/>
        <v>0.21127285488691905</v>
      </c>
      <c r="AG15" s="33">
        <f t="shared" si="2"/>
        <v>8.7873236608041277E-2</v>
      </c>
      <c r="AH15" s="33">
        <f t="shared" si="1"/>
        <v>0.71704425846017117</v>
      </c>
      <c r="AI15" s="33">
        <f t="shared" si="3"/>
        <v>0.56956709578101672</v>
      </c>
      <c r="AJ15" s="38">
        <v>15</v>
      </c>
      <c r="AK15">
        <v>0.31040362788746151</v>
      </c>
      <c r="AL15">
        <v>0.75114455773396915</v>
      </c>
      <c r="AM15">
        <v>0.1256218755866495</v>
      </c>
      <c r="AN15">
        <v>0.44268317613658886</v>
      </c>
      <c r="AO15">
        <v>0.23948793260506077</v>
      </c>
      <c r="AP15">
        <v>0.88398528399217358</v>
      </c>
      <c r="AQ15">
        <v>0.20674460655559615</v>
      </c>
      <c r="AR15">
        <v>0.56181252023172523</v>
      </c>
      <c r="AS15">
        <v>5.7026868332219996E-2</v>
      </c>
      <c r="AT15">
        <v>0.48518578337267732</v>
      </c>
      <c r="AU15">
        <v>0.1152434345015579</v>
      </c>
      <c r="AV15">
        <v>0.73722631469974642</v>
      </c>
      <c r="AW15">
        <v>0.34027914343988791</v>
      </c>
      <c r="AX15">
        <v>0.93035001323575894</v>
      </c>
      <c r="AY15">
        <v>0.19236883224831958</v>
      </c>
      <c r="AZ15">
        <v>1.1485550583635016</v>
      </c>
      <c r="BA15">
        <v>0.340566491709481</v>
      </c>
      <c r="BB15">
        <v>0.70598908207760014</v>
      </c>
      <c r="BC15">
        <v>0.22931288239512501</v>
      </c>
      <c r="BD15">
        <v>0.74355007533820006</v>
      </c>
      <c r="BE15">
        <v>0.24223004827182715</v>
      </c>
      <c r="BF15">
        <v>1.1553517694409174</v>
      </c>
      <c r="BG15">
        <v>0.20014126341998159</v>
      </c>
      <c r="BH15">
        <v>1.4654877800941328</v>
      </c>
      <c r="BI15">
        <v>0.29153479902629525</v>
      </c>
      <c r="BJ15">
        <v>0.81830526753430544</v>
      </c>
      <c r="BK15">
        <v>0.20220985894733431</v>
      </c>
      <c r="BL15">
        <v>0.38330911571016224</v>
      </c>
      <c r="BM15">
        <v>0.22231165695147415</v>
      </c>
      <c r="BN15">
        <v>0.38232696509448938</v>
      </c>
      <c r="BO15" s="33">
        <f t="shared" si="4"/>
        <v>0.2210322214585515</v>
      </c>
      <c r="BP15" s="33">
        <f t="shared" si="5"/>
        <v>8.0770793878066863E-2</v>
      </c>
      <c r="BQ15" s="33">
        <f t="shared" si="6"/>
        <v>0.77301751753706327</v>
      </c>
      <c r="BR15" s="33">
        <f t="shared" si="7"/>
        <v>0.31099484243081937</v>
      </c>
    </row>
    <row r="16" spans="1:70" x14ac:dyDescent="0.4">
      <c r="A16">
        <v>12</v>
      </c>
      <c r="B16">
        <v>0.30777063968009222</v>
      </c>
      <c r="C16">
        <v>1.9646713922248848</v>
      </c>
      <c r="D16">
        <v>0.12090908124174335</v>
      </c>
      <c r="E16">
        <v>0.62239321056741448</v>
      </c>
      <c r="F16">
        <v>0.17333416245657834</v>
      </c>
      <c r="G16">
        <v>0.25854821385453691</v>
      </c>
      <c r="H16">
        <v>0.25037004040052835</v>
      </c>
      <c r="I16">
        <v>0.4442565568861786</v>
      </c>
      <c r="J16">
        <v>0.21628180807653544</v>
      </c>
      <c r="K16">
        <v>1.3140703759916095</v>
      </c>
      <c r="L16">
        <v>0.23039609739138459</v>
      </c>
      <c r="M16">
        <v>0.65720816779996705</v>
      </c>
      <c r="N16">
        <v>4.8121768431503384E-2</v>
      </c>
      <c r="O16">
        <v>0.15628197575871497</v>
      </c>
      <c r="P16">
        <v>0.31856572078405365</v>
      </c>
      <c r="Q16">
        <v>0.3987064387402659</v>
      </c>
      <c r="R16">
        <v>0.16425927408787822</v>
      </c>
      <c r="S16">
        <v>0.66125142865956332</v>
      </c>
      <c r="T16">
        <v>0.16691834101727379</v>
      </c>
      <c r="U16">
        <v>0.23737239757034295</v>
      </c>
      <c r="V16">
        <v>0.14176404615468749</v>
      </c>
      <c r="W16">
        <v>0.50726853207534561</v>
      </c>
      <c r="X16">
        <v>0.22430310123680364</v>
      </c>
      <c r="Y16">
        <v>0.30916550195484432</v>
      </c>
      <c r="Z16">
        <v>8.7964874319615333E-2</v>
      </c>
      <c r="AA16">
        <v>0.21164133852712708</v>
      </c>
      <c r="AB16">
        <v>9.2475647876093317E-2</v>
      </c>
      <c r="AC16">
        <v>0.3138908370499055</v>
      </c>
      <c r="AD16">
        <v>0.23757270853695392</v>
      </c>
      <c r="AE16">
        <v>1.3043986603314548</v>
      </c>
      <c r="AF16" s="33">
        <f t="shared" si="0"/>
        <v>0.18540048744611504</v>
      </c>
      <c r="AG16" s="33">
        <f t="shared" si="2"/>
        <v>7.9333689366725357E-2</v>
      </c>
      <c r="AH16" s="33">
        <f t="shared" si="1"/>
        <v>0.62407500186614362</v>
      </c>
      <c r="AI16" s="33">
        <f t="shared" si="3"/>
        <v>0.51428504478941661</v>
      </c>
      <c r="AJ16" s="38">
        <v>15</v>
      </c>
      <c r="AK16">
        <v>0.27087102700205051</v>
      </c>
      <c r="AL16">
        <v>0.70071383504445839</v>
      </c>
      <c r="AM16">
        <v>0.10766856678258514</v>
      </c>
      <c r="AN16">
        <v>0.39537167411560459</v>
      </c>
      <c r="AO16">
        <v>0.20170703219001909</v>
      </c>
      <c r="AP16">
        <v>0.81947068835666736</v>
      </c>
      <c r="AQ16">
        <v>0.17025018188576688</v>
      </c>
      <c r="AR16">
        <v>0.50629867520366223</v>
      </c>
      <c r="AS16">
        <v>4.5228506232310332E-2</v>
      </c>
      <c r="AT16">
        <v>0.40256529205661468</v>
      </c>
      <c r="AU16">
        <v>9.6864932136319734E-2</v>
      </c>
      <c r="AV16">
        <v>0.56467195538593729</v>
      </c>
      <c r="AW16">
        <v>0.30116589481124872</v>
      </c>
      <c r="AX16">
        <v>0.87140873437333843</v>
      </c>
      <c r="AY16">
        <v>0.15098569120318645</v>
      </c>
      <c r="AZ16">
        <v>0.88996596726636479</v>
      </c>
      <c r="BA16">
        <v>0.2909244198447824</v>
      </c>
      <c r="BB16">
        <v>0.57518076200074253</v>
      </c>
      <c r="BC16">
        <v>0.19941577708999</v>
      </c>
      <c r="BD16">
        <v>0.670724001328178</v>
      </c>
      <c r="BE16">
        <v>0.21134968277842728</v>
      </c>
      <c r="BF16">
        <v>0.94561871576141399</v>
      </c>
      <c r="BG16">
        <v>0.17007517028299685</v>
      </c>
      <c r="BH16">
        <v>1.3140703759916093</v>
      </c>
      <c r="BI16">
        <v>0.23749213729100707</v>
      </c>
      <c r="BJ16">
        <v>0.82230529945647735</v>
      </c>
      <c r="BK16">
        <v>0.16688590237984752</v>
      </c>
      <c r="BL16">
        <v>0.27873567908807106</v>
      </c>
      <c r="BM16">
        <v>0.17344832781379038</v>
      </c>
      <c r="BN16">
        <v>0.28717385682697472</v>
      </c>
      <c r="BO16" s="33">
        <f t="shared" si="4"/>
        <v>0.18628888331495522</v>
      </c>
      <c r="BP16" s="33">
        <f t="shared" si="5"/>
        <v>7.1385741067656716E-2</v>
      </c>
      <c r="BQ16" s="33">
        <f t="shared" si="6"/>
        <v>0.66961836748374093</v>
      </c>
      <c r="BR16" s="33">
        <f t="shared" si="7"/>
        <v>0.28280373994537517</v>
      </c>
    </row>
    <row r="17" spans="1:70" x14ac:dyDescent="0.4">
      <c r="A17">
        <v>13</v>
      </c>
      <c r="B17">
        <v>0.27945526184767339</v>
      </c>
      <c r="C17">
        <v>1.7869256135882154</v>
      </c>
      <c r="D17">
        <v>0.10183479376116893</v>
      </c>
      <c r="E17">
        <v>0.4950706081783201</v>
      </c>
      <c r="F17">
        <v>0.1543418188424622</v>
      </c>
      <c r="G17">
        <v>0.21142975963798341</v>
      </c>
      <c r="H17">
        <v>0.21753140743304661</v>
      </c>
      <c r="I17">
        <v>0.40018823269888371</v>
      </c>
      <c r="J17">
        <v>0.1985501039010994</v>
      </c>
      <c r="K17">
        <v>1.1624607560899454</v>
      </c>
      <c r="L17">
        <v>0.20297116245263844</v>
      </c>
      <c r="M17">
        <v>0.56385013929946981</v>
      </c>
      <c r="N17">
        <v>4.8287165899876958E-2</v>
      </c>
      <c r="O17">
        <v>0.1326551021406521</v>
      </c>
      <c r="P17">
        <v>0.26820856682207272</v>
      </c>
      <c r="Q17">
        <v>0.34662529097194095</v>
      </c>
      <c r="R17">
        <v>0.14231972515116637</v>
      </c>
      <c r="S17">
        <v>0.72069339822152578</v>
      </c>
      <c r="T17">
        <v>0.10651556041106366</v>
      </c>
      <c r="U17">
        <v>0.26032838043479722</v>
      </c>
      <c r="V17">
        <v>0.12805408866601195</v>
      </c>
      <c r="W17">
        <v>0.45527925761302374</v>
      </c>
      <c r="X17">
        <v>0.20902343629478495</v>
      </c>
      <c r="Y17">
        <v>0.29276177622547744</v>
      </c>
      <c r="Z17">
        <v>6.8139376405171273E-2</v>
      </c>
      <c r="AA17">
        <v>0.13732604030750289</v>
      </c>
      <c r="AB17">
        <v>9.0584322547996879E-2</v>
      </c>
      <c r="AC17">
        <v>0.25674055083323205</v>
      </c>
      <c r="AD17">
        <v>0.22089718832970495</v>
      </c>
      <c r="AE17">
        <v>1.2227979188367575</v>
      </c>
      <c r="AF17" s="33">
        <f t="shared" si="0"/>
        <v>0.16244759858439595</v>
      </c>
      <c r="AG17" s="33">
        <f t="shared" si="2"/>
        <v>7.1708060946633942E-2</v>
      </c>
      <c r="AH17" s="33">
        <f t="shared" si="1"/>
        <v>0.56300885500518183</v>
      </c>
      <c r="AI17" s="33">
        <f t="shared" si="3"/>
        <v>0.47475727014302771</v>
      </c>
      <c r="AJ17" s="38">
        <v>15</v>
      </c>
      <c r="AK17">
        <v>0.24524859610042579</v>
      </c>
      <c r="AL17">
        <v>0.64240639098789876</v>
      </c>
      <c r="AM17">
        <v>9.3160665956820224E-2</v>
      </c>
      <c r="AN17">
        <v>0.34495063871343118</v>
      </c>
      <c r="AO17">
        <v>0.17466464517999417</v>
      </c>
      <c r="AP17">
        <v>0.72590098855538265</v>
      </c>
      <c r="AQ17">
        <v>0.15214837420432242</v>
      </c>
      <c r="AR17">
        <v>0.3825427904983999</v>
      </c>
      <c r="AS17">
        <v>3.739986482561071E-2</v>
      </c>
      <c r="AT17">
        <v>0.4980051197894555</v>
      </c>
      <c r="AU17">
        <v>8.154780068111786E-2</v>
      </c>
      <c r="AV17">
        <v>0.46015307002479211</v>
      </c>
      <c r="AW17">
        <v>0.26613468977329408</v>
      </c>
      <c r="AX17">
        <v>0.71855894622639316</v>
      </c>
      <c r="AY17">
        <v>0.1200525238185053</v>
      </c>
      <c r="AZ17">
        <v>0.80621630847974235</v>
      </c>
      <c r="BA17">
        <v>0.25672052915088883</v>
      </c>
      <c r="BB17">
        <v>0.49287005851383542</v>
      </c>
      <c r="BC17">
        <v>0.17128381273278601</v>
      </c>
      <c r="BD17">
        <v>0.60147854346519725</v>
      </c>
      <c r="BE17">
        <v>0.26824889497601678</v>
      </c>
      <c r="BF17">
        <v>0.81399261968539238</v>
      </c>
      <c r="BG17">
        <v>0.14643600836210993</v>
      </c>
      <c r="BH17">
        <v>1.1624607560899465</v>
      </c>
      <c r="BI17">
        <v>0.20094970088079397</v>
      </c>
      <c r="BJ17">
        <v>1.0481601784344454</v>
      </c>
      <c r="BK17">
        <v>0.13762555563068163</v>
      </c>
      <c r="BL17">
        <v>0.21349463080285339</v>
      </c>
      <c r="BM17">
        <v>0.13784829976822718</v>
      </c>
      <c r="BN17">
        <v>0.24908529857700906</v>
      </c>
      <c r="BO17" s="33">
        <f t="shared" si="4"/>
        <v>0.16596466413610636</v>
      </c>
      <c r="BP17" s="33">
        <f t="shared" si="5"/>
        <v>7.0496178792938027E-2</v>
      </c>
      <c r="BQ17" s="33">
        <f t="shared" si="6"/>
        <v>0.61068508925627851</v>
      </c>
      <c r="BR17" s="33">
        <f t="shared" si="7"/>
        <v>0.27539907992306767</v>
      </c>
    </row>
    <row r="18" spans="1:70" x14ac:dyDescent="0.4">
      <c r="A18">
        <v>14</v>
      </c>
      <c r="B18">
        <v>0.25094209872977202</v>
      </c>
      <c r="C18">
        <v>1.5838250376746263</v>
      </c>
      <c r="D18">
        <v>8.5646586802954158E-2</v>
      </c>
      <c r="E18">
        <v>0.33680679537131092</v>
      </c>
      <c r="F18">
        <v>0.12940037434365911</v>
      </c>
      <c r="G18">
        <v>0.13483093594789811</v>
      </c>
      <c r="H18">
        <v>0.18830619544131524</v>
      </c>
      <c r="I18">
        <v>0.35190283084074636</v>
      </c>
      <c r="J18">
        <v>0.18141472857238111</v>
      </c>
      <c r="K18">
        <v>1.0809381639112094</v>
      </c>
      <c r="L18">
        <v>0.16547553979334445</v>
      </c>
      <c r="M18">
        <v>0.52152239242109233</v>
      </c>
      <c r="N18">
        <v>3.3684385187451774E-2</v>
      </c>
      <c r="O18">
        <v>0.12158854490947195</v>
      </c>
      <c r="P18">
        <v>0.2352477281620251</v>
      </c>
      <c r="Q18">
        <v>0.31918548603283986</v>
      </c>
      <c r="R18">
        <v>0.12206894672166342</v>
      </c>
      <c r="S18">
        <v>0.5764232574324919</v>
      </c>
      <c r="T18">
        <v>7.5988945280824768E-2</v>
      </c>
      <c r="U18">
        <v>0.23258629426276453</v>
      </c>
      <c r="V18">
        <v>0.11458018096409489</v>
      </c>
      <c r="W18">
        <v>0.37890815044350401</v>
      </c>
      <c r="X18">
        <v>0.20286706376021463</v>
      </c>
      <c r="Y18">
        <v>0.29542054434155901</v>
      </c>
      <c r="Z18">
        <v>4.9232984230485909E-2</v>
      </c>
      <c r="AA18">
        <v>0.12454509265593833</v>
      </c>
      <c r="AB18">
        <v>8.388630215015544E-2</v>
      </c>
      <c r="AC18">
        <v>0.18871286973499168</v>
      </c>
      <c r="AD18">
        <v>0.2036212727712596</v>
      </c>
      <c r="AE18">
        <v>1.0310028052858822</v>
      </c>
      <c r="AF18" s="33">
        <f t="shared" si="0"/>
        <v>0.14149088886077343</v>
      </c>
      <c r="AG18" s="33">
        <f t="shared" si="2"/>
        <v>6.8068611378028485E-2</v>
      </c>
      <c r="AH18" s="33">
        <f t="shared" si="1"/>
        <v>0.48521328008442183</v>
      </c>
      <c r="AI18" s="33">
        <f t="shared" si="3"/>
        <v>0.4243354774989922</v>
      </c>
      <c r="AJ18" s="38">
        <v>15</v>
      </c>
      <c r="AK18">
        <v>0.22730292597045246</v>
      </c>
      <c r="AL18">
        <v>0.53633186393650223</v>
      </c>
      <c r="AM18">
        <v>8.1341293898628375E-2</v>
      </c>
      <c r="AN18">
        <v>0.31051134620610682</v>
      </c>
      <c r="AO18">
        <v>0.14440292785279285</v>
      </c>
      <c r="AP18">
        <v>0.68354598409292666</v>
      </c>
      <c r="AQ18">
        <v>0.10635239301107606</v>
      </c>
      <c r="AR18">
        <v>0.35979142271329351</v>
      </c>
      <c r="AS18">
        <v>3.006464385434612E-2</v>
      </c>
      <c r="AT18">
        <v>0.48572906664351073</v>
      </c>
      <c r="AU18">
        <v>6.9959387400678238E-2</v>
      </c>
      <c r="AV18">
        <v>0.37898481658716521</v>
      </c>
      <c r="AW18">
        <v>0.23735821087346773</v>
      </c>
      <c r="AX18">
        <v>0.66208044231417174</v>
      </c>
      <c r="AY18">
        <v>9.5125982889158717E-2</v>
      </c>
      <c r="AZ18">
        <v>0.70249187623216325</v>
      </c>
      <c r="BA18">
        <v>0.22017372537980107</v>
      </c>
      <c r="BB18">
        <v>0.4091102147186933</v>
      </c>
      <c r="BC18">
        <v>0.147726412271594</v>
      </c>
      <c r="BD18">
        <v>0.54540245782154329</v>
      </c>
      <c r="BE18">
        <v>0.23959320065556516</v>
      </c>
      <c r="BF18">
        <v>0.70824666700898131</v>
      </c>
      <c r="BG18">
        <v>0.12619831460794928</v>
      </c>
      <c r="BH18">
        <v>1.080938163911209</v>
      </c>
      <c r="BI18">
        <v>0.180256767309037</v>
      </c>
      <c r="BJ18">
        <v>0.63913200182300112</v>
      </c>
      <c r="BK18">
        <v>0.11292617965561931</v>
      </c>
      <c r="BL18">
        <v>0.16932784404807114</v>
      </c>
      <c r="BM18">
        <v>0.11632552267637782</v>
      </c>
      <c r="BN18">
        <v>0.19128694804845303</v>
      </c>
      <c r="BO18" s="33">
        <f t="shared" si="4"/>
        <v>0.14234052588710297</v>
      </c>
      <c r="BP18" s="33">
        <f t="shared" si="5"/>
        <v>6.553444314482855E-2</v>
      </c>
      <c r="BQ18" s="33">
        <f t="shared" si="6"/>
        <v>0.5241940744070529</v>
      </c>
      <c r="BR18" s="33">
        <f t="shared" si="7"/>
        <v>0.23590226350228305</v>
      </c>
    </row>
    <row r="19" spans="1:70" x14ac:dyDescent="0.4">
      <c r="A19">
        <v>15</v>
      </c>
      <c r="B19">
        <v>0.22592853269442512</v>
      </c>
      <c r="C19">
        <v>1.4716519787242461</v>
      </c>
      <c r="D19">
        <v>7.2370722020027201E-2</v>
      </c>
      <c r="E19">
        <v>0.35750616526322154</v>
      </c>
      <c r="F19">
        <v>0.1084956363731855</v>
      </c>
      <c r="G19">
        <v>0.16778202742738771</v>
      </c>
      <c r="H19">
        <v>0.163881400308273</v>
      </c>
      <c r="I19">
        <v>0.29329297648637476</v>
      </c>
      <c r="J19">
        <v>0.16492531993652576</v>
      </c>
      <c r="K19">
        <v>0.93792925358829216</v>
      </c>
      <c r="L19">
        <v>0.13371415013794777</v>
      </c>
      <c r="M19">
        <v>0.51012330914993842</v>
      </c>
      <c r="N19">
        <v>2.5710503168736243E-2</v>
      </c>
      <c r="O19">
        <v>0.13966833657725172</v>
      </c>
      <c r="P19">
        <v>0.20905990740568567</v>
      </c>
      <c r="Q19">
        <v>0.32969276141050374</v>
      </c>
      <c r="R19">
        <v>0.11055734503779972</v>
      </c>
      <c r="S19">
        <v>0.52999673159297644</v>
      </c>
      <c r="T19">
        <v>6.0678006963826941E-2</v>
      </c>
      <c r="U19">
        <v>0.13478514502003322</v>
      </c>
      <c r="V19">
        <v>0.10369029830316524</v>
      </c>
      <c r="W19">
        <v>0.34594048699816549</v>
      </c>
      <c r="X19">
        <v>0.19474335665978496</v>
      </c>
      <c r="Y19">
        <v>0.27006996191558047</v>
      </c>
      <c r="Z19">
        <v>4.5555889081873531E-2</v>
      </c>
      <c r="AA19">
        <v>6.828808545789708E-2</v>
      </c>
      <c r="AB19">
        <v>7.5225675482908011E-2</v>
      </c>
      <c r="AC19">
        <v>0.27801291988544596</v>
      </c>
      <c r="AD19">
        <v>0.18366156521252147</v>
      </c>
      <c r="AE19">
        <v>0.88229247049943782</v>
      </c>
      <c r="AF19" s="33">
        <f t="shared" si="0"/>
        <v>0.12521322058577908</v>
      </c>
      <c r="AG19" s="33">
        <f t="shared" si="2"/>
        <v>6.2808383427930339E-2</v>
      </c>
      <c r="AH19" s="33">
        <f t="shared" si="1"/>
        <v>0.44780217399978356</v>
      </c>
      <c r="AI19" s="33">
        <f t="shared" si="3"/>
        <v>0.37985450595846282</v>
      </c>
      <c r="AJ19" s="38">
        <v>15</v>
      </c>
      <c r="AK19">
        <v>0.2053729595528776</v>
      </c>
      <c r="AL19">
        <v>0.51061063534910411</v>
      </c>
      <c r="AM19">
        <v>7.0896083730007151E-2</v>
      </c>
      <c r="AN19">
        <v>0.28408638531492003</v>
      </c>
      <c r="AO19">
        <v>0.12200529123531383</v>
      </c>
      <c r="AP19">
        <v>0.62364926731623616</v>
      </c>
      <c r="AQ19">
        <v>8.4212457388708709E-2</v>
      </c>
      <c r="AR19">
        <v>0.44727069295032673</v>
      </c>
      <c r="AS19">
        <v>2.3850912546831752E-2</v>
      </c>
      <c r="AT19">
        <v>0.3927444461010548</v>
      </c>
      <c r="AU19">
        <v>6.1656581016341271E-2</v>
      </c>
      <c r="AV19">
        <v>0.33561637471129491</v>
      </c>
      <c r="AW19">
        <v>0.2078409136907832</v>
      </c>
      <c r="AX19">
        <v>0.61425362163753428</v>
      </c>
      <c r="AY19">
        <v>7.5247302577739872E-2</v>
      </c>
      <c r="AZ19">
        <v>0.73768839061346336</v>
      </c>
      <c r="BA19">
        <v>0.19235187013787766</v>
      </c>
      <c r="BB19">
        <v>0.34563822129515565</v>
      </c>
      <c r="BC19">
        <v>0.12854102808129</v>
      </c>
      <c r="BD19">
        <v>0.48635265486988205</v>
      </c>
      <c r="BE19">
        <v>0.1652706885247176</v>
      </c>
      <c r="BF19">
        <v>0.6355238881296843</v>
      </c>
      <c r="BG19">
        <v>0.10956988499496995</v>
      </c>
      <c r="BH19">
        <v>0.93792925358829238</v>
      </c>
      <c r="BI19">
        <v>0.15205376772744636</v>
      </c>
      <c r="BJ19">
        <v>0.44325014571722138</v>
      </c>
      <c r="BK19">
        <v>9.3364988187341694E-2</v>
      </c>
      <c r="BL19">
        <v>0.13858475864655784</v>
      </c>
      <c r="BM19">
        <v>9.6672099565123931E-2</v>
      </c>
      <c r="BN19">
        <v>0.1656215493450485</v>
      </c>
      <c r="BO19" s="33">
        <f t="shared" si="4"/>
        <v>0.11926045526382473</v>
      </c>
      <c r="BP19" s="33">
        <f t="shared" si="5"/>
        <v>5.5478926211559726E-2</v>
      </c>
      <c r="BQ19" s="33">
        <f t="shared" si="6"/>
        <v>0.47325468570571838</v>
      </c>
      <c r="BR19" s="33">
        <f t="shared" si="7"/>
        <v>0.21413606229041279</v>
      </c>
    </row>
    <row r="20" spans="1:70" x14ac:dyDescent="0.4">
      <c r="A20">
        <v>16</v>
      </c>
      <c r="B20">
        <v>0.20838196224004277</v>
      </c>
      <c r="C20">
        <v>1.3314138195500611</v>
      </c>
      <c r="D20">
        <v>5.7261284108903951E-2</v>
      </c>
      <c r="E20">
        <v>0.32106667321486726</v>
      </c>
      <c r="F20">
        <v>8.8617789611749015E-2</v>
      </c>
      <c r="G20">
        <v>0.13041376347511821</v>
      </c>
      <c r="H20">
        <v>0.14329503840848606</v>
      </c>
      <c r="I20">
        <v>0.2201244475157621</v>
      </c>
      <c r="J20">
        <v>0.14774586079314625</v>
      </c>
      <c r="K20">
        <v>0.84417025468056051</v>
      </c>
      <c r="L20">
        <v>0.11759655313740476</v>
      </c>
      <c r="M20">
        <v>0.43841945055986348</v>
      </c>
      <c r="N20">
        <v>2.2927828331498586E-2</v>
      </c>
      <c r="O20">
        <v>0.10791549480685794</v>
      </c>
      <c r="P20">
        <v>0.18806830022511167</v>
      </c>
      <c r="Q20">
        <v>0.27223111256185523</v>
      </c>
      <c r="R20">
        <v>9.1809558976595929E-2</v>
      </c>
      <c r="S20">
        <v>0.50835620411311533</v>
      </c>
      <c r="T20">
        <v>5.0730416940310441E-2</v>
      </c>
      <c r="U20">
        <v>0.19653890147826897</v>
      </c>
      <c r="V20">
        <v>9.544265288950364E-2</v>
      </c>
      <c r="W20">
        <v>0.32975312953669994</v>
      </c>
      <c r="X20">
        <v>0.18831158998178046</v>
      </c>
      <c r="Y20">
        <v>0.25186182204662766</v>
      </c>
      <c r="Z20">
        <v>4.0821314497837331E-2</v>
      </c>
      <c r="AA20">
        <v>3.4822185127665932E-2</v>
      </c>
      <c r="AB20">
        <v>6.5128917553132104E-2</v>
      </c>
      <c r="AC20">
        <v>0.26489861213262494</v>
      </c>
      <c r="AD20">
        <v>0.16260314731098163</v>
      </c>
      <c r="AE20">
        <v>0.78086905323475919</v>
      </c>
      <c r="AF20" s="33">
        <f t="shared" si="0"/>
        <v>0.11124948100043232</v>
      </c>
      <c r="AG20" s="33">
        <f t="shared" si="2"/>
        <v>5.9110064463154158E-2</v>
      </c>
      <c r="AH20" s="33">
        <f t="shared" si="1"/>
        <v>0.40219032826898055</v>
      </c>
      <c r="AI20" s="33">
        <f t="shared" si="3"/>
        <v>0.34390708514771456</v>
      </c>
      <c r="AJ20" s="38">
        <v>15</v>
      </c>
      <c r="AK20">
        <v>0.18454408594925703</v>
      </c>
      <c r="AL20">
        <v>0.4755057169982253</v>
      </c>
      <c r="AM20">
        <v>6.4985434658143729E-2</v>
      </c>
      <c r="AN20">
        <v>0.25689869976806051</v>
      </c>
      <c r="AO20">
        <v>0.10331016589116646</v>
      </c>
      <c r="AP20">
        <v>0.5778778549245307</v>
      </c>
      <c r="AQ20">
        <v>6.9524449938534058E-2</v>
      </c>
      <c r="AR20">
        <v>0.28531810408933217</v>
      </c>
      <c r="AS20">
        <v>1.981185654434283E-2</v>
      </c>
      <c r="AT20">
        <v>0.3263388070594066</v>
      </c>
      <c r="AU20">
        <v>5.5113686541207227E-2</v>
      </c>
      <c r="AV20">
        <v>0.26227345257547735</v>
      </c>
      <c r="AW20">
        <v>0.18488616696158569</v>
      </c>
      <c r="AX20">
        <v>0.53248038735835379</v>
      </c>
      <c r="AY20">
        <v>6.1343260658006028E-2</v>
      </c>
      <c r="AZ20">
        <v>0.83509549879373979</v>
      </c>
      <c r="BA20">
        <v>0.17331587898960318</v>
      </c>
      <c r="BB20">
        <v>0.27308500472468006</v>
      </c>
      <c r="BC20">
        <v>0.10897681523689</v>
      </c>
      <c r="BD20">
        <v>0.42833453907857028</v>
      </c>
      <c r="BE20">
        <v>0.13732875015999788</v>
      </c>
      <c r="BF20">
        <v>0.58548659861890784</v>
      </c>
      <c r="BG20">
        <v>9.7731841327445029E-2</v>
      </c>
      <c r="BH20">
        <v>0.84417025468056062</v>
      </c>
      <c r="BI20">
        <v>0.11774870217795265</v>
      </c>
      <c r="BJ20">
        <v>0.36271536306578728</v>
      </c>
      <c r="BK20">
        <v>7.9027462905941329E-2</v>
      </c>
      <c r="BL20">
        <v>8.7330620979206658E-2</v>
      </c>
      <c r="BM20">
        <v>7.8470146782279898E-2</v>
      </c>
      <c r="BN20">
        <v>0.14335204402059568</v>
      </c>
      <c r="BO20" s="33">
        <f t="shared" si="4"/>
        <v>0.10240791364815686</v>
      </c>
      <c r="BP20" s="33">
        <f t="shared" si="5"/>
        <v>4.9601391098287338E-2</v>
      </c>
      <c r="BQ20" s="33">
        <f t="shared" si="6"/>
        <v>0.4184175297823623</v>
      </c>
      <c r="BR20" s="33">
        <f t="shared" si="7"/>
        <v>0.22531888764185065</v>
      </c>
    </row>
    <row r="21" spans="1:70" x14ac:dyDescent="0.4">
      <c r="A21">
        <v>17</v>
      </c>
      <c r="B21">
        <v>0.18972807222559085</v>
      </c>
      <c r="C21">
        <v>1.2132955011141797</v>
      </c>
      <c r="D21">
        <v>4.8921358720915832E-2</v>
      </c>
      <c r="E21">
        <v>0.24737912909648238</v>
      </c>
      <c r="F21">
        <v>7.6038605131293346E-2</v>
      </c>
      <c r="G21">
        <v>0.10933125760559401</v>
      </c>
      <c r="H21">
        <v>0.12484442408313644</v>
      </c>
      <c r="I21">
        <v>0.19980407642999751</v>
      </c>
      <c r="J21">
        <v>0.13139938754425071</v>
      </c>
      <c r="K21">
        <v>0.75085970519651957</v>
      </c>
      <c r="L21">
        <v>9.4811619925750448E-2</v>
      </c>
      <c r="M21">
        <v>0.33689002644440758</v>
      </c>
      <c r="N21">
        <v>2.1588817388911465E-2</v>
      </c>
      <c r="O21">
        <v>7.8027098185735957E-2</v>
      </c>
      <c r="P21">
        <v>0.16947476036141237</v>
      </c>
      <c r="Q21">
        <v>0.22223201223672409</v>
      </c>
      <c r="R21">
        <v>8.388155982781749E-2</v>
      </c>
      <c r="S21">
        <v>0.47945772175207951</v>
      </c>
      <c r="T21">
        <v>4.5361480571884473E-2</v>
      </c>
      <c r="U21">
        <v>0.18969542324502167</v>
      </c>
      <c r="V21">
        <v>8.826770959558565E-2</v>
      </c>
      <c r="W21">
        <v>0.26250148832165199</v>
      </c>
      <c r="X21">
        <v>0.18590543902575477</v>
      </c>
      <c r="Y21">
        <v>0.27531914786991679</v>
      </c>
      <c r="Z21">
        <v>3.6802599148144169E-2</v>
      </c>
      <c r="AA21">
        <v>0.13508376661114668</v>
      </c>
      <c r="AB21">
        <v>5.6002888465455432E-2</v>
      </c>
      <c r="AC21">
        <v>0.17669507702493972</v>
      </c>
      <c r="AD21">
        <v>0.14538056338496974</v>
      </c>
      <c r="AE21">
        <v>0.66030499709984936</v>
      </c>
      <c r="AF21" s="33">
        <f t="shared" si="0"/>
        <v>9.9893952360058241E-2</v>
      </c>
      <c r="AG21" s="33">
        <f t="shared" si="2"/>
        <v>5.5156201733060212E-2</v>
      </c>
      <c r="AH21" s="33">
        <f t="shared" si="1"/>
        <v>0.35579176188228312</v>
      </c>
      <c r="AI21" s="33">
        <f t="shared" si="3"/>
        <v>0.30649451203414074</v>
      </c>
      <c r="AJ21" s="38">
        <v>15</v>
      </c>
      <c r="AK21">
        <v>0.1695231214731458</v>
      </c>
      <c r="AL21">
        <v>0.42579457239923652</v>
      </c>
      <c r="AM21">
        <v>5.8537944149402631E-2</v>
      </c>
      <c r="AN21">
        <v>0.23181141478988945</v>
      </c>
      <c r="AO21">
        <v>8.7489982459031265E-2</v>
      </c>
      <c r="AP21">
        <v>0.56763909685019087</v>
      </c>
      <c r="AQ21">
        <v>5.9661037966266671E-2</v>
      </c>
      <c r="AR21">
        <v>0.13249503912896171</v>
      </c>
      <c r="AS21">
        <v>1.7353556695126733E-2</v>
      </c>
      <c r="AT21">
        <v>0.4938364776881895</v>
      </c>
      <c r="AU21">
        <v>4.8938654740318159E-2</v>
      </c>
      <c r="AV21">
        <v>0.19349617931048935</v>
      </c>
      <c r="AW21">
        <v>0.16409205643492294</v>
      </c>
      <c r="AX21">
        <v>0.49517843565676023</v>
      </c>
      <c r="AY21">
        <v>5.0622567477097466E-2</v>
      </c>
      <c r="AZ21">
        <v>0.67180772610635697</v>
      </c>
      <c r="BA21">
        <v>0.22695277301150288</v>
      </c>
      <c r="BB21">
        <v>0.23816090807930893</v>
      </c>
      <c r="BC21">
        <v>9.2972288264637201E-2</v>
      </c>
      <c r="BD21">
        <v>0.38779467866373141</v>
      </c>
      <c r="BE21">
        <v>0.11647446385656135</v>
      </c>
      <c r="BF21">
        <v>0.52496803976716433</v>
      </c>
      <c r="BG21">
        <v>8.2513841923892856E-2</v>
      </c>
      <c r="BH21">
        <v>0.75085970519651957</v>
      </c>
      <c r="BI21">
        <v>0.10422520668647843</v>
      </c>
      <c r="BJ21">
        <v>0.30814265624156145</v>
      </c>
      <c r="BK21">
        <v>6.6911265769948158E-2</v>
      </c>
      <c r="BL21">
        <v>6.8133801730198312E-2</v>
      </c>
      <c r="BM21">
        <v>6.72480411989302E-2</v>
      </c>
      <c r="BN21">
        <v>0.14894928151670225</v>
      </c>
      <c r="BO21" s="33">
        <f t="shared" si="4"/>
        <v>9.4234453473817523E-2</v>
      </c>
      <c r="BP21" s="33">
        <f t="shared" si="5"/>
        <v>5.5259304712697445E-2</v>
      </c>
      <c r="BQ21" s="33">
        <f t="shared" si="6"/>
        <v>0.37593786754168407</v>
      </c>
      <c r="BR21" s="33">
        <f t="shared" si="7"/>
        <v>0.2071881543946236</v>
      </c>
    </row>
    <row r="22" spans="1:70" x14ac:dyDescent="0.4">
      <c r="A22">
        <v>18</v>
      </c>
      <c r="B22">
        <v>0.17394781626802133</v>
      </c>
      <c r="C22">
        <v>1.1278979607225545</v>
      </c>
      <c r="D22">
        <v>5.3171994526875405E-2</v>
      </c>
      <c r="E22">
        <v>0.20154676642054956</v>
      </c>
      <c r="F22">
        <v>8.0821155714225185E-2</v>
      </c>
      <c r="G22">
        <v>0.1018368960200982</v>
      </c>
      <c r="H22">
        <v>0.1086822194562036</v>
      </c>
      <c r="I22">
        <v>0.18765304992502851</v>
      </c>
      <c r="J22">
        <v>0.11696663447546354</v>
      </c>
      <c r="K22">
        <v>0.66592564640016072</v>
      </c>
      <c r="L22">
        <v>9.0126295294038178E-2</v>
      </c>
      <c r="M22">
        <v>0.41221995505355263</v>
      </c>
      <c r="N22">
        <v>1.9728069279841158E-2</v>
      </c>
      <c r="O22">
        <v>6.0182000847448125E-2</v>
      </c>
      <c r="P22">
        <v>0.15605203785694186</v>
      </c>
      <c r="Q22">
        <v>0.19733694671827759</v>
      </c>
      <c r="R22">
        <v>7.2545711597535478E-2</v>
      </c>
      <c r="S22">
        <v>0.46998791374726134</v>
      </c>
      <c r="T22">
        <v>4.2099723421369473E-2</v>
      </c>
      <c r="U22">
        <v>0.16110872132987733</v>
      </c>
      <c r="V22">
        <v>8.1739658574066676E-2</v>
      </c>
      <c r="W22">
        <v>0.29029866760157103</v>
      </c>
      <c r="X22">
        <v>0.17979880883823263</v>
      </c>
      <c r="Y22">
        <v>0.25186182304647814</v>
      </c>
      <c r="Z22">
        <v>3.4835136918698245E-2</v>
      </c>
      <c r="AA22">
        <v>0.11560803310486319</v>
      </c>
      <c r="AB22">
        <v>5.1257776763501191E-2</v>
      </c>
      <c r="AC22">
        <v>0.17088356618594785</v>
      </c>
      <c r="AD22">
        <v>0.13115060664501174</v>
      </c>
      <c r="AE22">
        <v>0.57271271832684578</v>
      </c>
      <c r="AF22" s="33">
        <f t="shared" si="0"/>
        <v>9.2861576375335056E-2</v>
      </c>
      <c r="AG22" s="33">
        <f t="shared" si="2"/>
        <v>5.0505203928055346E-2</v>
      </c>
      <c r="AH22" s="33">
        <f t="shared" si="1"/>
        <v>0.33247071103003428</v>
      </c>
      <c r="AI22" s="33">
        <f t="shared" si="3"/>
        <v>0.28301594444814321</v>
      </c>
      <c r="AJ22" s="38">
        <v>15</v>
      </c>
      <c r="AK22">
        <v>0.15789344118409823</v>
      </c>
      <c r="AL22">
        <v>0.39549131567268747</v>
      </c>
      <c r="AM22">
        <v>5.1250499604609999E-2</v>
      </c>
      <c r="AN22">
        <v>0.20932025907280991</v>
      </c>
      <c r="AO22">
        <v>7.4813295927102244E-2</v>
      </c>
      <c r="AP22">
        <v>0.53094674371066952</v>
      </c>
      <c r="AQ22">
        <v>5.0850257383201418E-2</v>
      </c>
      <c r="AR22">
        <v>0.14152796715315166</v>
      </c>
      <c r="AS22">
        <v>1.7019395416317997E-2</v>
      </c>
      <c r="AT22">
        <v>0.3205716691097667</v>
      </c>
      <c r="AU22">
        <v>4.4811380091892603E-2</v>
      </c>
      <c r="AV22">
        <v>0.19482303992344271</v>
      </c>
      <c r="AW22">
        <v>0.14676800932050332</v>
      </c>
      <c r="AX22">
        <v>0.47084052176436986</v>
      </c>
      <c r="AY22">
        <v>4.2606975720372232E-2</v>
      </c>
      <c r="AZ22">
        <v>0.58348552158768108</v>
      </c>
      <c r="BA22">
        <v>0.28552922879107534</v>
      </c>
      <c r="BB22">
        <v>0.22130267410695109</v>
      </c>
      <c r="BC22">
        <v>8.0613978171636694E-2</v>
      </c>
      <c r="BD22">
        <v>0.35121473923448521</v>
      </c>
      <c r="BE22">
        <v>0.10572498502726034</v>
      </c>
      <c r="BF22">
        <v>0.49259096657024171</v>
      </c>
      <c r="BG22">
        <v>7.0334583067833939E-2</v>
      </c>
      <c r="BH22">
        <v>0.6659256464001605</v>
      </c>
      <c r="BI22">
        <v>9.0922988490183293E-2</v>
      </c>
      <c r="BJ22">
        <v>0.24148266159183349</v>
      </c>
      <c r="BK22">
        <v>5.8066370798933377E-2</v>
      </c>
      <c r="BL22">
        <v>4.3351595392517761E-2</v>
      </c>
      <c r="BM22">
        <v>5.9497003631020548E-2</v>
      </c>
      <c r="BN22">
        <v>8.9017852307387652E-2</v>
      </c>
      <c r="BO22" s="33">
        <f t="shared" si="4"/>
        <v>8.9113492841736086E-2</v>
      </c>
      <c r="BP22" s="33">
        <f t="shared" si="5"/>
        <v>6.633481123983076E-2</v>
      </c>
      <c r="BQ22" s="33">
        <f t="shared" si="6"/>
        <v>0.33012621157321043</v>
      </c>
      <c r="BR22" s="33">
        <f t="shared" si="7"/>
        <v>0.18838192573716458</v>
      </c>
    </row>
    <row r="23" spans="1:70" x14ac:dyDescent="0.4">
      <c r="A23">
        <v>19</v>
      </c>
      <c r="B23">
        <v>0.15866964243979298</v>
      </c>
      <c r="C23">
        <v>1.065101145766193</v>
      </c>
      <c r="D23">
        <v>3.7011020278590809E-2</v>
      </c>
      <c r="E23">
        <v>0.17094243935764897</v>
      </c>
      <c r="F23">
        <v>6.2028888602198726E-2</v>
      </c>
      <c r="G23">
        <v>8.8734018697615089E-2</v>
      </c>
      <c r="H23">
        <v>9.5438108628967455E-2</v>
      </c>
      <c r="I23">
        <v>0.13423361365452452</v>
      </c>
      <c r="J23">
        <v>0.10390983547158085</v>
      </c>
      <c r="K23">
        <v>0.53869273029970044</v>
      </c>
      <c r="L23">
        <v>0.10442620078783449</v>
      </c>
      <c r="M23">
        <v>0.38279276656795158</v>
      </c>
      <c r="N23">
        <v>1.7776547665704752E-2</v>
      </c>
      <c r="O23">
        <v>0.10427082155303642</v>
      </c>
      <c r="P23">
        <v>0.14405590690683304</v>
      </c>
      <c r="Q23">
        <v>0.1739343735469894</v>
      </c>
      <c r="R23">
        <v>5.387539538551725E-2</v>
      </c>
      <c r="S23">
        <v>0.48163622087023555</v>
      </c>
      <c r="T23">
        <v>3.9053835632307958E-2</v>
      </c>
      <c r="U23">
        <v>0.12163960031897646</v>
      </c>
      <c r="V23">
        <v>7.7236997513212585E-2</v>
      </c>
      <c r="W23">
        <v>0.23821451830508425</v>
      </c>
      <c r="X23">
        <v>0.17481344498987253</v>
      </c>
      <c r="Y23">
        <v>0.21596500312039843</v>
      </c>
      <c r="Z23">
        <v>3.1285002802705519E-2</v>
      </c>
      <c r="AA23">
        <v>4.725077155963784E-2</v>
      </c>
      <c r="AB23">
        <v>9.8710821191810752E-2</v>
      </c>
      <c r="AC23">
        <v>0.20000694866985841</v>
      </c>
      <c r="AD23">
        <v>0.11805330947586724</v>
      </c>
      <c r="AE23">
        <v>0.4418523092773613</v>
      </c>
      <c r="AF23" s="33">
        <f t="shared" si="0"/>
        <v>8.7756330518186487E-2</v>
      </c>
      <c r="AG23" s="33">
        <f t="shared" si="2"/>
        <v>4.8082291722929299E-2</v>
      </c>
      <c r="AH23" s="33">
        <f t="shared" si="1"/>
        <v>0.29368448543768078</v>
      </c>
      <c r="AI23" s="33">
        <f t="shared" si="3"/>
        <v>0.26203418424797953</v>
      </c>
      <c r="AJ23" s="38">
        <v>15</v>
      </c>
      <c r="AK23">
        <v>0.14595069649999023</v>
      </c>
      <c r="AL23">
        <v>0.37000137913595432</v>
      </c>
      <c r="AM23">
        <v>4.6660279348259677E-2</v>
      </c>
      <c r="AN23">
        <v>0.19279585770724664</v>
      </c>
      <c r="AO23">
        <v>6.3971791973227513E-2</v>
      </c>
      <c r="AP23">
        <v>0.48321377879500965</v>
      </c>
      <c r="AQ23">
        <v>4.3506003053831468E-2</v>
      </c>
      <c r="AR23">
        <v>8.4552923548848885E-2</v>
      </c>
      <c r="AS23">
        <v>1.7395334567639111E-2</v>
      </c>
      <c r="AT23">
        <v>0.31288216139581321</v>
      </c>
      <c r="AU23">
        <v>4.1417615180185066E-2</v>
      </c>
      <c r="AV23">
        <v>0.17961117253111733</v>
      </c>
      <c r="AW23">
        <v>0.13191415850397892</v>
      </c>
      <c r="AX23">
        <v>0.33451586980646747</v>
      </c>
      <c r="AY23">
        <v>3.8811174604194351E-2</v>
      </c>
      <c r="AZ23">
        <v>0.57103138267748887</v>
      </c>
      <c r="BA23">
        <v>0.15716881044046088</v>
      </c>
      <c r="BB23">
        <v>0.19097958129031603</v>
      </c>
      <c r="BC23">
        <v>7.1478371872918695E-2</v>
      </c>
      <c r="BD23">
        <v>0.32402634907216921</v>
      </c>
      <c r="BE23">
        <v>0.10659840488471874</v>
      </c>
      <c r="BF23">
        <v>0.44420481756803348</v>
      </c>
      <c r="BG23">
        <v>6.0958316214113101E-2</v>
      </c>
      <c r="BH23">
        <v>0.53869273029970033</v>
      </c>
      <c r="BI23">
        <v>7.5236324117316136E-2</v>
      </c>
      <c r="BJ23">
        <v>0.28704165385233327</v>
      </c>
      <c r="BK23">
        <v>5.0286831742315755E-2</v>
      </c>
      <c r="BL23">
        <v>1.5471606249015541E-2</v>
      </c>
      <c r="BM23">
        <v>5.3121436907579506E-2</v>
      </c>
      <c r="BN23">
        <v>8.0246549970940925E-2</v>
      </c>
      <c r="BO23" s="33">
        <f t="shared" si="4"/>
        <v>7.363170332738192E-2</v>
      </c>
      <c r="BP23" s="33">
        <f t="shared" si="5"/>
        <v>4.2229550213426961E-2</v>
      </c>
      <c r="BQ23" s="33">
        <f t="shared" si="6"/>
        <v>0.29395118759336364</v>
      </c>
      <c r="BR23" s="33">
        <f t="shared" si="7"/>
        <v>0.17003896122626977</v>
      </c>
    </row>
    <row r="24" spans="1:70" x14ac:dyDescent="0.4">
      <c r="A24">
        <v>20</v>
      </c>
      <c r="B24">
        <v>0.14285020645715427</v>
      </c>
      <c r="C24">
        <v>0.980556048855177</v>
      </c>
      <c r="D24">
        <v>2.8321308642631163E-2</v>
      </c>
      <c r="E24">
        <v>7.3644702394141462E-2</v>
      </c>
      <c r="F24">
        <v>5.2956003288437054E-2</v>
      </c>
      <c r="G24">
        <v>7.4000700241567546E-2</v>
      </c>
      <c r="H24">
        <v>8.3703512330734545E-2</v>
      </c>
      <c r="I24">
        <v>0.12323001834296984</v>
      </c>
      <c r="J24">
        <v>9.3633321712113873E-2</v>
      </c>
      <c r="K24">
        <v>0.48860997974287945</v>
      </c>
      <c r="L24">
        <v>6.4998792874513225E-2</v>
      </c>
      <c r="M24">
        <v>0.33235491157127423</v>
      </c>
      <c r="N24">
        <v>1.6624706357146957E-2</v>
      </c>
      <c r="O24">
        <v>6.7260813010894385E-2</v>
      </c>
      <c r="P24">
        <v>0.13387348014151496</v>
      </c>
      <c r="Q24">
        <v>0.14886019972227679</v>
      </c>
      <c r="R24">
        <v>4.7138698603879613E-2</v>
      </c>
      <c r="S24">
        <v>0.38838302406793995</v>
      </c>
      <c r="T24">
        <v>3.715489302268251E-2</v>
      </c>
      <c r="U24">
        <v>0.18064297388888467</v>
      </c>
      <c r="V24">
        <v>7.2511767120651868E-2</v>
      </c>
      <c r="W24">
        <v>0.18581019745267507</v>
      </c>
      <c r="X24">
        <v>0.1706187499198826</v>
      </c>
      <c r="Y24">
        <v>0.18772325508470752</v>
      </c>
      <c r="Z24">
        <v>2.8050145905686767E-2</v>
      </c>
      <c r="AA24">
        <v>0.14591073336733487</v>
      </c>
      <c r="AB24">
        <v>6.5937576567654282E-2</v>
      </c>
      <c r="AC24">
        <v>0.14498391678239464</v>
      </c>
      <c r="AD24">
        <v>0.10656454241920711</v>
      </c>
      <c r="AE24">
        <v>0.4297299088211291</v>
      </c>
      <c r="AF24" s="33">
        <f t="shared" si="0"/>
        <v>7.6329180357592716E-2</v>
      </c>
      <c r="AG24" s="33">
        <f t="shared" si="2"/>
        <v>4.573143868697558E-2</v>
      </c>
      <c r="AH24" s="33">
        <f t="shared" si="1"/>
        <v>0.26344675888974978</v>
      </c>
      <c r="AI24" s="33">
        <f t="shared" si="3"/>
        <v>0.23943567319533132</v>
      </c>
      <c r="AJ24" s="38">
        <v>15</v>
      </c>
      <c r="AK24">
        <v>0.13590433973825816</v>
      </c>
      <c r="AL24">
        <v>0.34223973058157259</v>
      </c>
      <c r="AM24">
        <v>4.2281940463336554E-2</v>
      </c>
      <c r="AN24">
        <v>0.17465508852378575</v>
      </c>
      <c r="AO24">
        <v>5.4987533583210499E-2</v>
      </c>
      <c r="AP24">
        <v>0.4336158898612294</v>
      </c>
      <c r="AQ24">
        <v>3.7971829947807616E-2</v>
      </c>
      <c r="AR24">
        <v>0.20850203202604001</v>
      </c>
      <c r="AS24">
        <v>1.4380708955218258E-2</v>
      </c>
      <c r="AT24">
        <v>0.23159897777925595</v>
      </c>
      <c r="AU24">
        <v>3.2998549349251199E-2</v>
      </c>
      <c r="AV24">
        <v>0.14688895185136805</v>
      </c>
      <c r="AW24">
        <v>0.11697936366921473</v>
      </c>
      <c r="AX24">
        <v>0.40639086548651882</v>
      </c>
      <c r="AY24">
        <v>4.6559771013860933E-2</v>
      </c>
      <c r="AZ24">
        <v>0.54822885502170315</v>
      </c>
      <c r="BA24">
        <v>0.12526448165874846</v>
      </c>
      <c r="BB24">
        <v>0.19260986259133323</v>
      </c>
      <c r="BC24">
        <v>6.2839062564428297E-2</v>
      </c>
      <c r="BD24">
        <v>0.28832641246014334</v>
      </c>
      <c r="BE24">
        <v>8.4299361062744466E-2</v>
      </c>
      <c r="BF24">
        <v>0.3795224603485533</v>
      </c>
      <c r="BG24">
        <v>5.5645357713187092E-2</v>
      </c>
      <c r="BH24">
        <v>0.48860997974287956</v>
      </c>
      <c r="BI24">
        <v>6.4903611894293597E-2</v>
      </c>
      <c r="BJ24">
        <v>0.24889416844386938</v>
      </c>
      <c r="BK24">
        <v>4.4331510749821314E-2</v>
      </c>
      <c r="BL24">
        <v>2.5797524260048884E-2</v>
      </c>
      <c r="BM24">
        <v>4.73232900824168E-2</v>
      </c>
      <c r="BN24">
        <v>0.12289138639310782</v>
      </c>
      <c r="BO24" s="33">
        <f t="shared" si="4"/>
        <v>6.444471416305321E-2</v>
      </c>
      <c r="BP24" s="33">
        <f t="shared" si="5"/>
        <v>3.5691233008849153E-2</v>
      </c>
      <c r="BQ24" s="33">
        <f t="shared" si="6"/>
        <v>0.28258481235809391</v>
      </c>
      <c r="BR24" s="33">
        <f t="shared" si="7"/>
        <v>0.14710596113312399</v>
      </c>
    </row>
    <row r="25" spans="1:70" x14ac:dyDescent="0.4">
      <c r="A25">
        <v>21</v>
      </c>
      <c r="B25">
        <v>0.13212464517475619</v>
      </c>
      <c r="C25">
        <v>0.9021310687817885</v>
      </c>
      <c r="D25">
        <v>2.3444246251414013E-2</v>
      </c>
      <c r="E25">
        <v>6.6111538100931164E-2</v>
      </c>
      <c r="F25">
        <v>4.671787026305696E-2</v>
      </c>
      <c r="G25">
        <v>6.4311939598627701E-2</v>
      </c>
      <c r="H25">
        <v>7.4126642907255944E-2</v>
      </c>
      <c r="I25">
        <v>0.1061067730231913</v>
      </c>
      <c r="J25">
        <v>8.5097854996695241E-2</v>
      </c>
      <c r="K25">
        <v>0.42445697625310641</v>
      </c>
      <c r="L25">
        <v>6.4741895883009992E-2</v>
      </c>
      <c r="M25">
        <v>0.42918578425173576</v>
      </c>
      <c r="N25">
        <v>1.6852778775507473E-2</v>
      </c>
      <c r="O25">
        <v>3.8843401224048078E-2</v>
      </c>
      <c r="P25">
        <v>0.12561827185865357</v>
      </c>
      <c r="Q25">
        <v>0.14877064570560225</v>
      </c>
      <c r="R25">
        <v>4.242620998745085E-2</v>
      </c>
      <c r="S25">
        <v>0.26889888753260727</v>
      </c>
      <c r="T25">
        <v>3.5994212553292611E-2</v>
      </c>
      <c r="U25">
        <v>0.20520154199832383</v>
      </c>
      <c r="V25">
        <v>6.5384709948495531E-2</v>
      </c>
      <c r="W25">
        <v>0.22920178594271337</v>
      </c>
      <c r="X25">
        <v>0.17232259272430417</v>
      </c>
      <c r="Y25">
        <v>0.24554638830572195</v>
      </c>
      <c r="Z25">
        <v>2.6837252126256508E-2</v>
      </c>
      <c r="AA25">
        <v>3.8409812439960875E-2</v>
      </c>
      <c r="AB25">
        <v>4.5439294719783176E-2</v>
      </c>
      <c r="AC25">
        <v>0.1838443479497322</v>
      </c>
      <c r="AD25">
        <v>9.560256735646952E-2</v>
      </c>
      <c r="AE25">
        <v>0.39899486452415056</v>
      </c>
      <c r="AF25" s="33">
        <f t="shared" si="0"/>
        <v>7.0182069701760108E-2</v>
      </c>
      <c r="AG25" s="33">
        <f t="shared" si="2"/>
        <v>4.4951382695146327E-2</v>
      </c>
      <c r="AH25" s="33">
        <f t="shared" si="1"/>
        <v>0.2500010503754827</v>
      </c>
      <c r="AI25" s="33">
        <f t="shared" si="3"/>
        <v>0.22453370803521203</v>
      </c>
      <c r="AJ25" s="38">
        <v>15</v>
      </c>
      <c r="AK25">
        <v>0.12549287308522281</v>
      </c>
      <c r="AL25">
        <v>0.32251500365210328</v>
      </c>
      <c r="AM25">
        <v>3.8628511023152137E-2</v>
      </c>
      <c r="AN25">
        <v>0.16423529794809333</v>
      </c>
      <c r="AO25">
        <v>4.7411830315108858E-2</v>
      </c>
      <c r="AP25">
        <v>0.42679353852210927</v>
      </c>
      <c r="AQ25">
        <v>3.401972780079552E-2</v>
      </c>
      <c r="AR25">
        <v>0.30868535100699324</v>
      </c>
      <c r="AS25">
        <v>1.3280397666252783E-2</v>
      </c>
      <c r="AT25">
        <v>0.21625128918713304</v>
      </c>
      <c r="AU25">
        <v>2.8234619697244716E-2</v>
      </c>
      <c r="AV25">
        <v>0.12611890849117735</v>
      </c>
      <c r="AW25">
        <v>0.10400507862715663</v>
      </c>
      <c r="AX25">
        <v>0.37978222745614582</v>
      </c>
      <c r="AY25">
        <v>4.0332776940120114E-2</v>
      </c>
      <c r="AZ25">
        <v>0.58029680023920083</v>
      </c>
      <c r="BA25">
        <v>0.1116601765845401</v>
      </c>
      <c r="BB25">
        <v>0.19850300612021113</v>
      </c>
      <c r="BC25">
        <v>5.43372958873726E-2</v>
      </c>
      <c r="BD25">
        <v>0.28608094468390799</v>
      </c>
      <c r="BE25">
        <v>7.3235533920705559E-2</v>
      </c>
      <c r="BF25">
        <v>0.34958623548914503</v>
      </c>
      <c r="BG25">
        <v>5.1251618305149717E-2</v>
      </c>
      <c r="BH25">
        <v>0.42445697625310624</v>
      </c>
      <c r="BI25">
        <v>0.11362990969289587</v>
      </c>
      <c r="BJ25">
        <v>0.18846856237656934</v>
      </c>
      <c r="BK25">
        <v>3.9685822829834135E-2</v>
      </c>
      <c r="BL25">
        <v>7.2108662614844485E-3</v>
      </c>
      <c r="BM25">
        <v>4.2800411697305932E-2</v>
      </c>
      <c r="BN25">
        <v>0.1099051102873197</v>
      </c>
      <c r="BO25" s="33">
        <f t="shared" si="4"/>
        <v>6.12004389381905E-2</v>
      </c>
      <c r="BP25" s="33">
        <f t="shared" si="5"/>
        <v>3.5466379860188718E-2</v>
      </c>
      <c r="BQ25" s="33">
        <f t="shared" si="6"/>
        <v>0.27259267453164671</v>
      </c>
      <c r="BR25" s="33">
        <f t="shared" si="7"/>
        <v>0.14850399074948256</v>
      </c>
    </row>
    <row r="26" spans="1:70" x14ac:dyDescent="0.4">
      <c r="A26">
        <v>22</v>
      </c>
      <c r="B26">
        <v>0.11927196608305632</v>
      </c>
      <c r="C26">
        <v>0.86908242171140404</v>
      </c>
      <c r="D26">
        <v>1.9141161329393339E-2</v>
      </c>
      <c r="E26">
        <v>5.6395247136368593E-2</v>
      </c>
      <c r="F26">
        <v>4.1171391251449391E-2</v>
      </c>
      <c r="G26">
        <v>5.2165097489213802E-2</v>
      </c>
      <c r="H26">
        <v>6.7780715041868791E-2</v>
      </c>
      <c r="I26">
        <v>9.3298661533858768E-2</v>
      </c>
      <c r="J26">
        <v>7.240337938174729E-2</v>
      </c>
      <c r="K26">
        <v>0.38877281466776381</v>
      </c>
      <c r="L26">
        <v>5.801776649591843E-2</v>
      </c>
      <c r="M26">
        <v>0.35618471038151683</v>
      </c>
      <c r="N26">
        <v>1.6955940184814902E-2</v>
      </c>
      <c r="O26">
        <v>2.7975645956347384E-2</v>
      </c>
      <c r="P26">
        <v>0.12823233751226823</v>
      </c>
      <c r="Q26">
        <v>0.17232246674701934</v>
      </c>
      <c r="R26">
        <v>3.6416727562587452E-2</v>
      </c>
      <c r="S26">
        <v>0.28872770670722525</v>
      </c>
      <c r="T26">
        <v>3.267400500254812E-2</v>
      </c>
      <c r="U26">
        <v>0.24050178203994477</v>
      </c>
      <c r="V26">
        <v>4.2480707956885612E-2</v>
      </c>
      <c r="W26">
        <v>0.18654542981913233</v>
      </c>
      <c r="X26">
        <v>0.16678235936335761</v>
      </c>
      <c r="Y26">
        <v>0.31969122452307031</v>
      </c>
      <c r="Z26">
        <v>2.6158917580810626E-2</v>
      </c>
      <c r="AA26">
        <v>-1.0221322017785984E-3</v>
      </c>
      <c r="AB26">
        <v>3.8708798149004853E-2</v>
      </c>
      <c r="AC26">
        <v>0.20305526720170344</v>
      </c>
      <c r="AD26">
        <v>8.6304223753722334E-2</v>
      </c>
      <c r="AE26">
        <v>0.27634073691507216</v>
      </c>
      <c r="AF26" s="33">
        <f t="shared" si="0"/>
        <v>6.3500026443295568E-2</v>
      </c>
      <c r="AG26" s="33">
        <f t="shared" si="2"/>
        <v>4.4225764052990231E-2</v>
      </c>
      <c r="AH26" s="33">
        <f t="shared" si="1"/>
        <v>0.2353358053751908</v>
      </c>
      <c r="AI26" s="33">
        <f t="shared" si="3"/>
        <v>0.21438601332307994</v>
      </c>
      <c r="AJ26" s="38">
        <v>15</v>
      </c>
      <c r="AK26">
        <v>0.11595652375950008</v>
      </c>
      <c r="AL26">
        <v>0.299512831569685</v>
      </c>
      <c r="AM26">
        <v>3.5367740557303955E-2</v>
      </c>
      <c r="AN26">
        <v>0.14994327081891556</v>
      </c>
      <c r="AO26">
        <v>4.1661394778025315E-2</v>
      </c>
      <c r="AP26">
        <v>0.4225622146179483</v>
      </c>
      <c r="AQ26">
        <v>3.0215177216791362E-2</v>
      </c>
      <c r="AR26">
        <v>0.25970468956141324</v>
      </c>
      <c r="AS26">
        <v>1.3047206362757859E-2</v>
      </c>
      <c r="AT26">
        <v>0.16878735850539872</v>
      </c>
      <c r="AU26">
        <v>2.5711191583937514E-2</v>
      </c>
      <c r="AV26">
        <v>0.11939058126535332</v>
      </c>
      <c r="AW26">
        <v>9.4632751774730045E-2</v>
      </c>
      <c r="AX26">
        <v>0.32148442252749676</v>
      </c>
      <c r="AY26">
        <v>3.0249582323864932E-2</v>
      </c>
      <c r="AZ26">
        <v>0.59888777805838278</v>
      </c>
      <c r="BA26">
        <v>0.10476879054541646</v>
      </c>
      <c r="BB26">
        <v>0.18145154705099778</v>
      </c>
      <c r="BC26">
        <v>4.76284977581974E-2</v>
      </c>
      <c r="BD26">
        <v>0.28875123865118196</v>
      </c>
      <c r="BE26">
        <v>6.3287678564788202E-2</v>
      </c>
      <c r="BF26">
        <v>0.33896139173763334</v>
      </c>
      <c r="BG26">
        <v>4.1813591666450559E-2</v>
      </c>
      <c r="BH26">
        <v>0.38877281466776392</v>
      </c>
      <c r="BI26">
        <v>7.0308009259160156E-2</v>
      </c>
      <c r="BJ26">
        <v>0.18296442818061034</v>
      </c>
      <c r="BK26">
        <v>3.6419437548913532E-2</v>
      </c>
      <c r="BL26">
        <v>9.2143916212888879E-4</v>
      </c>
      <c r="BM26">
        <v>3.9478907524407955E-2</v>
      </c>
      <c r="BN26">
        <v>6.2959954687451303E-2</v>
      </c>
      <c r="BO26" s="33">
        <f t="shared" si="4"/>
        <v>5.270309874828303E-2</v>
      </c>
      <c r="BP26" s="33">
        <f t="shared" si="5"/>
        <v>3.071727943009411E-2</v>
      </c>
      <c r="BQ26" s="33">
        <f t="shared" si="6"/>
        <v>0.25233706407082407</v>
      </c>
      <c r="BR26" s="33">
        <f t="shared" si="7"/>
        <v>0.15297766090236384</v>
      </c>
    </row>
    <row r="27" spans="1:70" x14ac:dyDescent="0.4">
      <c r="A27">
        <v>23</v>
      </c>
      <c r="B27">
        <v>0.10627149260097141</v>
      </c>
      <c r="C27">
        <v>0.84687513910749468</v>
      </c>
      <c r="D27">
        <v>1.7302559312566791E-2</v>
      </c>
      <c r="E27">
        <v>-3.8700553810592127E-3</v>
      </c>
      <c r="F27">
        <v>3.7296131138315043E-2</v>
      </c>
      <c r="G27">
        <v>4.0632604985584027E-2</v>
      </c>
      <c r="H27">
        <v>6.1346436544369526E-2</v>
      </c>
      <c r="I27">
        <v>0.10245851682294446</v>
      </c>
      <c r="J27">
        <v>6.3615554641863997E-2</v>
      </c>
      <c r="K27">
        <v>0.3331084179373765</v>
      </c>
      <c r="L27">
        <v>6.7758969405664032E-2</v>
      </c>
      <c r="M27">
        <v>0.2345843322646087</v>
      </c>
      <c r="N27">
        <v>1.5863059270155459E-2</v>
      </c>
      <c r="O27">
        <v>2.1484260605708658E-2</v>
      </c>
      <c r="P27">
        <v>0.11480332578382907</v>
      </c>
      <c r="Q27">
        <v>0.14403939152788817</v>
      </c>
      <c r="R27">
        <v>3.1345687250802057E-2</v>
      </c>
      <c r="S27">
        <v>0.2532048041143613</v>
      </c>
      <c r="T27">
        <v>3.0765313256465889E-2</v>
      </c>
      <c r="U27">
        <v>0.20615443809468292</v>
      </c>
      <c r="V27">
        <v>3.8707838726142939E-2</v>
      </c>
      <c r="W27">
        <v>0.15413514919377283</v>
      </c>
      <c r="X27">
        <v>0.17312163007940684</v>
      </c>
      <c r="Y27">
        <v>0.26730866213369359</v>
      </c>
      <c r="Z27">
        <v>2.4055277430248646E-2</v>
      </c>
      <c r="AA27">
        <v>-3.0011506980576291E-2</v>
      </c>
      <c r="AB27">
        <v>3.5206911131001266E-2</v>
      </c>
      <c r="AC27">
        <v>0.21647659034021707</v>
      </c>
      <c r="AD27">
        <v>7.7752549831838574E-2</v>
      </c>
      <c r="AE27">
        <v>0.30694376726781514</v>
      </c>
      <c r="AF27" s="33">
        <f t="shared" si="0"/>
        <v>5.9680849093576092E-2</v>
      </c>
      <c r="AG27" s="33">
        <f t="shared" si="2"/>
        <v>4.3631648319403686E-2</v>
      </c>
      <c r="AH27" s="33">
        <f t="shared" si="1"/>
        <v>0.20623496746896752</v>
      </c>
      <c r="AI27" s="33">
        <f t="shared" si="3"/>
        <v>0.21084344661948867</v>
      </c>
      <c r="AJ27" s="38">
        <v>15</v>
      </c>
      <c r="AK27">
        <v>0.10989614780076147</v>
      </c>
      <c r="AL27">
        <v>0.27800304311481111</v>
      </c>
      <c r="AM27">
        <v>3.3077756470355116E-2</v>
      </c>
      <c r="AN27">
        <v>0.13763429942892061</v>
      </c>
      <c r="AO27">
        <v>3.7047814897947104E-2</v>
      </c>
      <c r="AP27">
        <v>0.43748153731817602</v>
      </c>
      <c r="AQ27">
        <v>2.6385542961817311E-2</v>
      </c>
      <c r="AR27">
        <v>0.2277271861001289</v>
      </c>
      <c r="AS27">
        <v>1.7191636460590794E-2</v>
      </c>
      <c r="AT27">
        <v>0.20042302181362534</v>
      </c>
      <c r="AU27">
        <v>2.3856057055633706E-2</v>
      </c>
      <c r="AV27">
        <v>0.11887864966611038</v>
      </c>
      <c r="AW27">
        <v>8.6067817978636663E-2</v>
      </c>
      <c r="AX27">
        <v>0.3073210067181199</v>
      </c>
      <c r="AY27">
        <v>2.2206213504744381E-2</v>
      </c>
      <c r="AZ27">
        <v>0.53078101638594544</v>
      </c>
      <c r="BA27">
        <v>9.7061061649121552E-2</v>
      </c>
      <c r="BB27">
        <v>0.16440008754014226</v>
      </c>
      <c r="BC27">
        <v>4.2915545347736998E-2</v>
      </c>
      <c r="BD27">
        <v>0.24675487126593607</v>
      </c>
      <c r="BE27">
        <v>5.5911376637664399E-2</v>
      </c>
      <c r="BF27">
        <v>0.30672790017126161</v>
      </c>
      <c r="BG27">
        <v>3.6631893511921192E-2</v>
      </c>
      <c r="BH27">
        <v>0.33310841793737639</v>
      </c>
      <c r="BI27">
        <v>5.3633736696382869E-2</v>
      </c>
      <c r="BJ27">
        <v>0.15476798769615335</v>
      </c>
      <c r="BK27">
        <v>3.3687400185867696E-2</v>
      </c>
      <c r="BL27">
        <v>-2.598753381493334E-3</v>
      </c>
      <c r="BM27">
        <v>3.6108726582257021E-2</v>
      </c>
      <c r="BN27">
        <v>4.028090121071369E-2</v>
      </c>
      <c r="BO27" s="33">
        <f t="shared" si="4"/>
        <v>4.7445248516095884E-2</v>
      </c>
      <c r="BP27" s="33">
        <f t="shared" si="5"/>
        <v>2.8392081178478482E-2</v>
      </c>
      <c r="BQ27" s="33">
        <f t="shared" si="6"/>
        <v>0.2321127448657285</v>
      </c>
      <c r="BR27" s="33">
        <f t="shared" si="7"/>
        <v>0.14150996593132081</v>
      </c>
    </row>
    <row r="28" spans="1:70" x14ac:dyDescent="0.4">
      <c r="A28">
        <v>24</v>
      </c>
      <c r="B28">
        <v>9.2243916767153003E-2</v>
      </c>
      <c r="C28">
        <v>0.78173958558346202</v>
      </c>
      <c r="D28">
        <v>1.4785063217528035E-2</v>
      </c>
      <c r="E28">
        <v>5.9575610015915985E-2</v>
      </c>
      <c r="F28">
        <v>3.4590574593273478E-2</v>
      </c>
      <c r="G28">
        <v>3.423509715973632E-2</v>
      </c>
      <c r="H28">
        <v>5.4191204897385041E-2</v>
      </c>
      <c r="I28">
        <v>6.9741942630728318E-2</v>
      </c>
      <c r="J28">
        <v>5.7245852590730673E-2</v>
      </c>
      <c r="K28">
        <v>0.3051761176651856</v>
      </c>
      <c r="L28">
        <v>4.0967314749273488E-2</v>
      </c>
      <c r="M28">
        <v>0.18720054285416968</v>
      </c>
      <c r="N28">
        <v>1.4781915457688375E-2</v>
      </c>
      <c r="O28">
        <v>1.861545946494968E-2</v>
      </c>
      <c r="P28">
        <v>0.10125224438162214</v>
      </c>
      <c r="Q28">
        <v>0.12696507156366987</v>
      </c>
      <c r="R28">
        <v>2.7927744999153133E-2</v>
      </c>
      <c r="S28">
        <v>0.2270989109073431</v>
      </c>
      <c r="T28">
        <v>2.942787525550777E-2</v>
      </c>
      <c r="U28">
        <v>0.16680441399802429</v>
      </c>
      <c r="V28">
        <v>3.5634733572282445E-2</v>
      </c>
      <c r="W28">
        <v>0.18802779456547367</v>
      </c>
      <c r="X28">
        <v>0.16383995754558939</v>
      </c>
      <c r="Y28">
        <v>0.19120905020168946</v>
      </c>
      <c r="Z28">
        <v>2.2797822572647921E-2</v>
      </c>
      <c r="AA28">
        <v>-2.0818196891738264E-2</v>
      </c>
      <c r="AB28">
        <v>3.2721534384457351E-2</v>
      </c>
      <c r="AC28">
        <v>0.11546577780311491</v>
      </c>
      <c r="AD28">
        <v>7.0662389997908234E-2</v>
      </c>
      <c r="AE28">
        <v>0.26375631450760961</v>
      </c>
      <c r="AF28" s="33">
        <f t="shared" si="0"/>
        <v>5.287134299881336E-2</v>
      </c>
      <c r="AG28" s="33">
        <f t="shared" si="2"/>
        <v>4.0266005943249486E-2</v>
      </c>
      <c r="AH28" s="33">
        <f t="shared" si="1"/>
        <v>0.18098623280195561</v>
      </c>
      <c r="AI28" s="33">
        <f t="shared" si="3"/>
        <v>0.19061012079746953</v>
      </c>
      <c r="AJ28" s="38">
        <v>15</v>
      </c>
      <c r="AK28">
        <v>0.10310938830373918</v>
      </c>
      <c r="AL28">
        <v>0.26692820221919566</v>
      </c>
      <c r="AM28">
        <v>3.1032821649741905E-2</v>
      </c>
      <c r="AN28">
        <v>0.12746090738142674</v>
      </c>
      <c r="AO28">
        <v>3.2962224384013382E-2</v>
      </c>
      <c r="AP28">
        <v>0.37172365432332805</v>
      </c>
      <c r="AQ28">
        <v>2.2946700358314639E-2</v>
      </c>
      <c r="AR28">
        <v>0.17255147317763334</v>
      </c>
      <c r="AS28">
        <v>1.0794808533911531E-2</v>
      </c>
      <c r="AT28">
        <v>0.16977988464721139</v>
      </c>
      <c r="AU28">
        <v>2.2349733531731867E-2</v>
      </c>
      <c r="AV28">
        <v>0.117248804629727</v>
      </c>
      <c r="AW28">
        <v>7.8656473892884049E-2</v>
      </c>
      <c r="AX28">
        <v>0.28597479307196783</v>
      </c>
      <c r="AY28">
        <v>2.1987429984748664E-2</v>
      </c>
      <c r="AZ28">
        <v>0.50436858918454719</v>
      </c>
      <c r="BA28">
        <v>8.1248846250284279E-2</v>
      </c>
      <c r="BB28">
        <v>0.1616467327021778</v>
      </c>
      <c r="BC28">
        <v>3.7535909909321E-2</v>
      </c>
      <c r="BD28">
        <v>0.22569598892249804</v>
      </c>
      <c r="BE28">
        <v>5.0658503831751425E-2</v>
      </c>
      <c r="BF28">
        <v>0.30364093154263005</v>
      </c>
      <c r="BG28">
        <v>3.2348190705632413E-2</v>
      </c>
      <c r="BH28">
        <v>0.3051761176651856</v>
      </c>
      <c r="BI28">
        <v>4.9247563433054461E-2</v>
      </c>
      <c r="BJ28">
        <v>0.13689316729893333</v>
      </c>
      <c r="BK28">
        <v>3.1582513895419988E-2</v>
      </c>
      <c r="BL28">
        <v>-6.3067010853733339E-3</v>
      </c>
      <c r="BM28">
        <v>3.3453998181835615E-2</v>
      </c>
      <c r="BN28">
        <v>4.3284293020770422E-2</v>
      </c>
      <c r="BO28" s="33">
        <f t="shared" si="4"/>
        <v>4.2661007123092294E-2</v>
      </c>
      <c r="BP28" s="33">
        <f t="shared" si="5"/>
        <v>2.5856059618013304E-2</v>
      </c>
      <c r="BQ28" s="33">
        <f t="shared" si="6"/>
        <v>0.21240445591345733</v>
      </c>
      <c r="BR28" s="33">
        <f t="shared" si="7"/>
        <v>0.13106924442068349</v>
      </c>
    </row>
    <row r="29" spans="1:70" x14ac:dyDescent="0.4">
      <c r="A29">
        <v>25</v>
      </c>
      <c r="B29">
        <v>8.5632956697863832E-2</v>
      </c>
      <c r="C29">
        <v>0.7397730408914831</v>
      </c>
      <c r="D29">
        <v>1.2317870914869435E-2</v>
      </c>
      <c r="E29">
        <v>5.2958819299981953E-2</v>
      </c>
      <c r="F29">
        <v>3.0848038070193928E-2</v>
      </c>
      <c r="G29">
        <v>3.0521394799480298E-2</v>
      </c>
      <c r="H29">
        <v>4.8077804678768182E-2</v>
      </c>
      <c r="I29">
        <v>6.5480742954132531E-2</v>
      </c>
      <c r="J29">
        <v>5.2262616393214827E-2</v>
      </c>
      <c r="K29">
        <v>0.27083731906760511</v>
      </c>
      <c r="L29">
        <v>3.1896846732769116E-2</v>
      </c>
      <c r="M29">
        <v>0.19904903744763888</v>
      </c>
      <c r="N29">
        <v>1.4414890254336014E-2</v>
      </c>
      <c r="O29">
        <v>1.2637642817635391E-2</v>
      </c>
      <c r="P29">
        <v>9.3729869460848311E-2</v>
      </c>
      <c r="Q29">
        <v>0.1437707365737165</v>
      </c>
      <c r="R29">
        <v>2.5970499453945757E-2</v>
      </c>
      <c r="S29">
        <v>0.2369327260581354</v>
      </c>
      <c r="T29">
        <v>2.9366848423065837E-2</v>
      </c>
      <c r="U29">
        <v>8.6176941183013139E-2</v>
      </c>
      <c r="V29">
        <v>3.3820600572448206E-2</v>
      </c>
      <c r="W29">
        <v>0.13933528245766705</v>
      </c>
      <c r="X29">
        <v>0.16394522163362818</v>
      </c>
      <c r="Y29">
        <v>0.17304192794831869</v>
      </c>
      <c r="Z29">
        <v>2.2116712749319419E-2</v>
      </c>
      <c r="AA29">
        <v>-6.1787704139340677E-2</v>
      </c>
      <c r="AB29">
        <v>3.1451540667294442E-2</v>
      </c>
      <c r="AC29">
        <v>0.12287821270710333</v>
      </c>
      <c r="AD29">
        <v>6.4494369370964824E-2</v>
      </c>
      <c r="AE29">
        <v>0.16308825598686374</v>
      </c>
      <c r="AF29" s="33">
        <f t="shared" si="0"/>
        <v>4.9356445738235354E-2</v>
      </c>
      <c r="AG29" s="33">
        <f t="shared" si="2"/>
        <v>3.9772043078556148E-2</v>
      </c>
      <c r="AH29" s="33">
        <f t="shared" si="1"/>
        <v>0.15831295840356227</v>
      </c>
      <c r="AI29" s="33">
        <f t="shared" si="3"/>
        <v>0.18353323048046821</v>
      </c>
      <c r="AJ29" s="38">
        <v>15</v>
      </c>
      <c r="AK29">
        <v>9.6044574089877696E-2</v>
      </c>
      <c r="AL29">
        <v>0.2454605228799312</v>
      </c>
      <c r="AM29">
        <v>2.887782471973098E-2</v>
      </c>
      <c r="AN29">
        <v>0.10798247019705504</v>
      </c>
      <c r="AO29">
        <v>2.9997252912785741E-2</v>
      </c>
      <c r="AP29">
        <v>0.37828482090462268</v>
      </c>
      <c r="AQ29">
        <v>2.0047263418004869E-2</v>
      </c>
      <c r="AR29">
        <v>0.15671969842722613</v>
      </c>
      <c r="AS29">
        <v>9.2933366024677156E-3</v>
      </c>
      <c r="AT29">
        <v>0.16420080581370969</v>
      </c>
      <c r="AU29">
        <v>2.0886387474360071E-2</v>
      </c>
      <c r="AV29">
        <v>9.728323708326532E-2</v>
      </c>
      <c r="AW29">
        <v>7.1099204639344243E-2</v>
      </c>
      <c r="AX29">
        <v>0.30117588194949357</v>
      </c>
      <c r="AY29">
        <v>3.1456145131906393E-2</v>
      </c>
      <c r="AZ29">
        <v>0.57385914993677245</v>
      </c>
      <c r="BA29">
        <v>7.0821367404300326E-2</v>
      </c>
      <c r="BB29">
        <v>0.14512663105620888</v>
      </c>
      <c r="BC29">
        <v>3.3045464155281597E-2</v>
      </c>
      <c r="BD29">
        <v>0.23279653421799135</v>
      </c>
      <c r="BE29">
        <v>4.5986623386810623E-2</v>
      </c>
      <c r="BF29">
        <v>0.2845449428996667</v>
      </c>
      <c r="BG29">
        <v>2.8169352830696839E-2</v>
      </c>
      <c r="BH29">
        <v>0.27083731906760522</v>
      </c>
      <c r="BI29">
        <v>4.5042694421656329E-2</v>
      </c>
      <c r="BJ29">
        <v>0.11934532754267138</v>
      </c>
      <c r="BK29">
        <v>2.9458829513040522E-2</v>
      </c>
      <c r="BL29">
        <v>-1.7430531752211129E-2</v>
      </c>
      <c r="BM29">
        <v>3.1049667638578551E-2</v>
      </c>
      <c r="BN29">
        <v>2.3728080070618548E-2</v>
      </c>
      <c r="BO29" s="33">
        <f t="shared" si="4"/>
        <v>3.9418399222589509E-2</v>
      </c>
      <c r="BP29" s="33">
        <f t="shared" si="5"/>
        <v>2.3140806242075547E-2</v>
      </c>
      <c r="BQ29" s="33">
        <f t="shared" si="6"/>
        <v>0.20559432601964181</v>
      </c>
      <c r="BR29" s="33">
        <f t="shared" si="7"/>
        <v>0.14800292294800305</v>
      </c>
    </row>
    <row r="30" spans="1:70" x14ac:dyDescent="0.4">
      <c r="A30">
        <v>26</v>
      </c>
      <c r="B30">
        <v>7.963866955296324E-2</v>
      </c>
      <c r="C30">
        <v>0.71520512128360803</v>
      </c>
      <c r="D30">
        <v>1.0258813336505478E-2</v>
      </c>
      <c r="E30">
        <v>3.7636459270110355E-2</v>
      </c>
      <c r="F30">
        <v>2.8106510471148125E-2</v>
      </c>
      <c r="G30">
        <v>2.4325449535890172E-2</v>
      </c>
      <c r="H30">
        <v>4.2855265877511449E-2</v>
      </c>
      <c r="I30">
        <v>9.1964894078942788E-2</v>
      </c>
      <c r="J30">
        <v>4.6951304867911804E-2</v>
      </c>
      <c r="K30">
        <v>0.31206231949251523</v>
      </c>
      <c r="L30">
        <v>4.958277691580746E-2</v>
      </c>
      <c r="M30">
        <v>0.16806928959550116</v>
      </c>
      <c r="N30">
        <v>1.3380466658200399E-2</v>
      </c>
      <c r="O30">
        <v>3.8727434604826118E-2</v>
      </c>
      <c r="P30">
        <v>8.647400034006715E-2</v>
      </c>
      <c r="Q30">
        <v>0.19614293182591294</v>
      </c>
      <c r="R30">
        <v>2.1226276562905703E-2</v>
      </c>
      <c r="S30">
        <v>0.24818090868700937</v>
      </c>
      <c r="T30">
        <v>2.7437157063594644E-2</v>
      </c>
      <c r="U30">
        <v>0.13338829312933226</v>
      </c>
      <c r="V30">
        <v>3.1367755420071447E-2</v>
      </c>
      <c r="W30">
        <v>9.6975399131560128E-2</v>
      </c>
      <c r="X30">
        <v>0.16961921160463603</v>
      </c>
      <c r="Y30">
        <v>0.20789984306103168</v>
      </c>
      <c r="Z30">
        <v>2.3392986453865248E-2</v>
      </c>
      <c r="AA30">
        <v>-5.35873931828467E-2</v>
      </c>
      <c r="AB30">
        <v>3.5447405928108376E-2</v>
      </c>
      <c r="AC30">
        <v>0.13932591268384459</v>
      </c>
      <c r="AD30">
        <v>5.9985352677035163E-2</v>
      </c>
      <c r="AE30">
        <v>0.19611870097551068</v>
      </c>
      <c r="AF30" s="33">
        <f t="shared" si="0"/>
        <v>4.838159691535545E-2</v>
      </c>
      <c r="AG30" s="33">
        <f t="shared" si="2"/>
        <v>4.0215536859531699E-2</v>
      </c>
      <c r="AH30" s="33">
        <f t="shared" si="1"/>
        <v>0.1701623709448499</v>
      </c>
      <c r="AI30" s="33">
        <f t="shared" si="3"/>
        <v>0.17848896089665164</v>
      </c>
      <c r="AJ30" s="38">
        <v>15</v>
      </c>
      <c r="AK30">
        <v>8.955041232303447E-2</v>
      </c>
      <c r="AL30">
        <v>0.22684300155161441</v>
      </c>
      <c r="AM30">
        <v>2.7209994602242757E-2</v>
      </c>
      <c r="AN30">
        <v>9.2493589211042213E-2</v>
      </c>
      <c r="AO30">
        <v>2.6625368176852224E-2</v>
      </c>
      <c r="AP30">
        <v>0.35730581594474675</v>
      </c>
      <c r="AQ30">
        <v>1.7617837997399612E-2</v>
      </c>
      <c r="AR30">
        <v>0.21454006467712003</v>
      </c>
      <c r="AS30">
        <v>1.58771552706513E-2</v>
      </c>
      <c r="AT30">
        <v>0.11550402435172932</v>
      </c>
      <c r="AU30">
        <v>1.9759819496595298E-2</v>
      </c>
      <c r="AV30">
        <v>0.10990406729735336</v>
      </c>
      <c r="AW30">
        <v>6.4345126238055508E-2</v>
      </c>
      <c r="AX30">
        <v>0.23913172476283828</v>
      </c>
      <c r="AY30">
        <v>6.9240659273312036E-2</v>
      </c>
      <c r="AZ30">
        <v>0.51333317114920052</v>
      </c>
      <c r="BA30">
        <v>6.6619492144495487E-2</v>
      </c>
      <c r="BB30">
        <v>0.14353258263515553</v>
      </c>
      <c r="BC30">
        <v>2.9386734065495201E-2</v>
      </c>
      <c r="BD30">
        <v>0.2048798845362847</v>
      </c>
      <c r="BE30">
        <v>4.1616260391534959E-2</v>
      </c>
      <c r="BF30">
        <v>0.27593020259401657</v>
      </c>
      <c r="BG30">
        <v>2.5635348804560348E-2</v>
      </c>
      <c r="BH30">
        <v>0.31206231949251534</v>
      </c>
      <c r="BI30">
        <v>4.1841866898855912E-2</v>
      </c>
      <c r="BJ30">
        <v>9.3034456274793315E-2</v>
      </c>
      <c r="BK30">
        <v>2.7725088322112269E-2</v>
      </c>
      <c r="BL30">
        <v>-3.7566074984926666E-2</v>
      </c>
      <c r="BM30">
        <v>2.9400109801696592E-2</v>
      </c>
      <c r="BN30">
        <v>4.5400313260514691E-2</v>
      </c>
      <c r="BO30" s="33">
        <f t="shared" si="4"/>
        <v>3.9496751587126268E-2</v>
      </c>
      <c r="BP30" s="33">
        <f t="shared" si="5"/>
        <v>2.2409765757468884E-2</v>
      </c>
      <c r="BQ30" s="33">
        <f t="shared" si="6"/>
        <v>0.19375527618359986</v>
      </c>
      <c r="BR30" s="33">
        <f t="shared" si="7"/>
        <v>0.13756340018007551</v>
      </c>
    </row>
    <row r="31" spans="1:70" x14ac:dyDescent="0.4">
      <c r="A31">
        <v>27</v>
      </c>
      <c r="B31">
        <v>7.4788555347601635E-2</v>
      </c>
      <c r="C31">
        <v>0.65426620656119627</v>
      </c>
      <c r="D31">
        <v>9.06752540323209E-3</v>
      </c>
      <c r="E31">
        <v>2.28666132795689E-2</v>
      </c>
      <c r="F31">
        <v>2.5897267550643494E-2</v>
      </c>
      <c r="G31">
        <v>1.5296597946280478E-2</v>
      </c>
      <c r="H31">
        <v>3.8662051451607095E-2</v>
      </c>
      <c r="I31">
        <v>7.5724286721307876E-2</v>
      </c>
      <c r="J31">
        <v>4.2736260977055393E-2</v>
      </c>
      <c r="K31">
        <v>0.22649639224722889</v>
      </c>
      <c r="L31">
        <v>5.8175042123846075E-2</v>
      </c>
      <c r="M31">
        <v>0.14952025774939012</v>
      </c>
      <c r="N31">
        <v>1.2724898114667486E-2</v>
      </c>
      <c r="O31">
        <v>7.0524453352340713E-2</v>
      </c>
      <c r="P31">
        <v>7.9389575505059498E-2</v>
      </c>
      <c r="Q31">
        <v>0.22017234599715912</v>
      </c>
      <c r="R31">
        <v>1.9092583342711616E-2</v>
      </c>
      <c r="S31">
        <v>0.19558566563568133</v>
      </c>
      <c r="T31">
        <v>2.6117139283470356E-2</v>
      </c>
      <c r="U31">
        <v>0.15188302879425233</v>
      </c>
      <c r="V31">
        <v>3.0385226340801024E-2</v>
      </c>
      <c r="W31">
        <v>0.1309154846309537</v>
      </c>
      <c r="X31">
        <v>0.1586284697058479</v>
      </c>
      <c r="Y31">
        <v>0.22454962574117984</v>
      </c>
      <c r="Z31">
        <v>2.0975526081069631E-2</v>
      </c>
      <c r="AA31">
        <v>-5.1953742080016581E-2</v>
      </c>
      <c r="AB31">
        <v>3.2937575441941917E-2</v>
      </c>
      <c r="AC31">
        <v>0.15572975914877421</v>
      </c>
      <c r="AD31">
        <v>5.4437741665372366E-2</v>
      </c>
      <c r="AE31">
        <v>0.19476931753349172</v>
      </c>
      <c r="AF31" s="33">
        <f t="shared" si="0"/>
        <v>4.5601029222328518E-2</v>
      </c>
      <c r="AG31" s="33">
        <f t="shared" si="2"/>
        <v>3.7745125850216832E-2</v>
      </c>
      <c r="AH31" s="33">
        <f t="shared" si="1"/>
        <v>0.1624230862172526</v>
      </c>
      <c r="AI31" s="33">
        <f t="shared" si="3"/>
        <v>0.16029271126433889</v>
      </c>
      <c r="AJ31" s="38">
        <v>15</v>
      </c>
      <c r="AK31">
        <v>8.4742300151051358E-2</v>
      </c>
      <c r="AL31">
        <v>0.20854094135393117</v>
      </c>
      <c r="AM31">
        <v>2.6286822355339783E-2</v>
      </c>
      <c r="AN31">
        <v>0.10084818575127778</v>
      </c>
      <c r="AO31">
        <v>2.3507177840297204E-2</v>
      </c>
      <c r="AP31">
        <v>0.31797020203899751</v>
      </c>
      <c r="AQ31">
        <v>1.5795358503493975E-2</v>
      </c>
      <c r="AR31">
        <v>9.5711241739037736E-2</v>
      </c>
      <c r="AS31">
        <v>8.9095500792311828E-3</v>
      </c>
      <c r="AT31">
        <v>0.15771279071289335</v>
      </c>
      <c r="AU31">
        <v>1.8572972922192798E-2</v>
      </c>
      <c r="AV31">
        <v>9.4817569528723986E-2</v>
      </c>
      <c r="AW31">
        <v>5.8573742722600373E-2</v>
      </c>
      <c r="AX31">
        <v>0.17671022900277808</v>
      </c>
      <c r="AY31">
        <v>6.8009821300084747E-2</v>
      </c>
      <c r="AZ31">
        <v>0.58655394544283423</v>
      </c>
      <c r="BA31">
        <v>6.0750382190256129E-2</v>
      </c>
      <c r="BB31">
        <v>0.13348527154352893</v>
      </c>
      <c r="BC31">
        <v>2.57739202515667E-2</v>
      </c>
      <c r="BD31">
        <v>0.19856829019771532</v>
      </c>
      <c r="BE31">
        <v>3.8214868986088363E-2</v>
      </c>
      <c r="BF31">
        <v>0.24669392021557462</v>
      </c>
      <c r="BG31">
        <v>2.2956120039421015E-2</v>
      </c>
      <c r="BH31">
        <v>0.22649639224722878</v>
      </c>
      <c r="BI31">
        <v>4.0272020998286424E-2</v>
      </c>
      <c r="BJ31">
        <v>9.2249707539672349E-2</v>
      </c>
      <c r="BK31">
        <v>2.6484961809154335E-2</v>
      </c>
      <c r="BL31">
        <v>-2.5221908728702225E-2</v>
      </c>
      <c r="BM31">
        <v>2.7803665614880981E-2</v>
      </c>
      <c r="BN31">
        <v>1.3049749789271674E-3</v>
      </c>
      <c r="BO31" s="33">
        <f t="shared" si="4"/>
        <v>3.6443579050929688E-2</v>
      </c>
      <c r="BP31" s="33">
        <f t="shared" si="5"/>
        <v>2.1829647613303339E-2</v>
      </c>
      <c r="BQ31" s="33">
        <f t="shared" si="6"/>
        <v>0.17416278357096127</v>
      </c>
      <c r="BR31" s="33">
        <f t="shared" si="7"/>
        <v>0.14555927162672308</v>
      </c>
    </row>
    <row r="32" spans="1:70" x14ac:dyDescent="0.4">
      <c r="A32">
        <v>28</v>
      </c>
      <c r="B32">
        <v>6.6960808563440249E-2</v>
      </c>
      <c r="D32">
        <v>7.9505589646350749E-3</v>
      </c>
      <c r="E32">
        <v>1.5158245674750284E-2</v>
      </c>
      <c r="F32">
        <v>2.400530185869721E-2</v>
      </c>
      <c r="G32">
        <v>1.8380765387903827E-2</v>
      </c>
      <c r="H32">
        <v>3.4890015187990585E-2</v>
      </c>
      <c r="I32">
        <v>4.2890022120415761E-2</v>
      </c>
      <c r="J32">
        <v>3.8446590366592905E-2</v>
      </c>
      <c r="K32">
        <v>9.9687904855651405E-2</v>
      </c>
      <c r="L32">
        <v>4.0659380396933391E-2</v>
      </c>
      <c r="M32">
        <v>0.14686455426091216</v>
      </c>
      <c r="N32">
        <v>1.2690551089470405E-2</v>
      </c>
      <c r="O32">
        <v>1.9231188896786485E-2</v>
      </c>
      <c r="P32">
        <v>7.3566105170282364E-2</v>
      </c>
      <c r="Q32">
        <v>0.13289033729051081</v>
      </c>
      <c r="R32">
        <v>1.6562774959214772E-2</v>
      </c>
      <c r="S32">
        <v>0.17237796816980339</v>
      </c>
      <c r="T32">
        <v>2.5142409034658753E-2</v>
      </c>
      <c r="U32">
        <v>0.1046391777629586</v>
      </c>
      <c r="V32">
        <v>2.8318430242961441E-2</v>
      </c>
      <c r="W32">
        <v>0.12621937853963638</v>
      </c>
      <c r="X32">
        <v>0.1546186457403374</v>
      </c>
      <c r="Y32">
        <v>0.18482526574552272</v>
      </c>
      <c r="Z32">
        <v>2.2921599710418617E-2</v>
      </c>
      <c r="AA32">
        <v>-5.5509342065437679E-2</v>
      </c>
      <c r="AB32">
        <v>2.9900362804904355E-2</v>
      </c>
      <c r="AC32">
        <v>0.18774794811067377</v>
      </c>
      <c r="AD32">
        <v>5.0489163784402227E-2</v>
      </c>
      <c r="AE32">
        <v>0.15062116876583351</v>
      </c>
      <c r="AF32" s="33">
        <f t="shared" si="0"/>
        <v>4.1808179858329318E-2</v>
      </c>
      <c r="AG32" s="33">
        <f t="shared" si="2"/>
        <v>3.626286006532474E-2</v>
      </c>
      <c r="AH32" s="33">
        <f t="shared" si="1"/>
        <v>9.6144613108280111E-2</v>
      </c>
      <c r="AI32" s="33">
        <f t="shared" si="3"/>
        <v>7.5601826158458396E-2</v>
      </c>
      <c r="AJ32" s="38">
        <v>15</v>
      </c>
      <c r="AK32">
        <v>7.9794629987306437E-2</v>
      </c>
      <c r="AL32">
        <v>0.20681524136115778</v>
      </c>
      <c r="AM32">
        <v>2.511579719360852E-2</v>
      </c>
      <c r="AN32">
        <v>9.742186306342443E-2</v>
      </c>
      <c r="AO32">
        <v>2.0939990499832643E-2</v>
      </c>
      <c r="AP32">
        <v>0.3701356004988226</v>
      </c>
      <c r="AQ32">
        <v>1.428596687852903E-2</v>
      </c>
      <c r="AR32">
        <v>0.21869424195599776</v>
      </c>
      <c r="AS32">
        <v>7.8824623131523667E-3</v>
      </c>
      <c r="AT32">
        <v>0.16765899788618396</v>
      </c>
      <c r="AU32">
        <v>1.7444376218029758E-2</v>
      </c>
      <c r="AV32">
        <v>0.10380260156313603</v>
      </c>
      <c r="AW32">
        <v>5.609156571194316E-2</v>
      </c>
      <c r="AX32">
        <v>0.19358235751540098</v>
      </c>
      <c r="AY32">
        <v>3.2029108203302799E-2</v>
      </c>
      <c r="AZ32">
        <v>0.51730405778894695</v>
      </c>
      <c r="BA32">
        <v>5.5880601859986445E-2</v>
      </c>
      <c r="BB32">
        <v>0.13396831684080002</v>
      </c>
      <c r="BC32">
        <v>2.27125140722923E-2</v>
      </c>
      <c r="BD32">
        <v>0.2241181003254753</v>
      </c>
      <c r="BE32">
        <v>3.5655932945645737E-2</v>
      </c>
      <c r="BF32">
        <v>0.24836302573956676</v>
      </c>
      <c r="BG32">
        <v>2.1121322680802759E-2</v>
      </c>
      <c r="BH32">
        <v>9.968790485565146E-2</v>
      </c>
      <c r="BI32">
        <v>3.9974229139813064E-2</v>
      </c>
      <c r="BJ32">
        <v>8.8936325242557401E-2</v>
      </c>
      <c r="BK32">
        <v>2.5521988649921015E-2</v>
      </c>
      <c r="BL32">
        <v>-1.865086905812224E-2</v>
      </c>
      <c r="BM32">
        <v>2.6562652207153939E-2</v>
      </c>
      <c r="BN32">
        <v>2.6816809487966668E-2</v>
      </c>
      <c r="BO32" s="33">
        <f t="shared" si="4"/>
        <v>3.2067542570754663E-2</v>
      </c>
      <c r="BP32" s="33">
        <f t="shared" si="5"/>
        <v>1.9020772790010413E-2</v>
      </c>
      <c r="BQ32" s="33">
        <f t="shared" si="6"/>
        <v>0.17857697167113104</v>
      </c>
      <c r="BR32" s="33">
        <f t="shared" si="7"/>
        <v>0.13402616546234208</v>
      </c>
    </row>
    <row r="33" spans="1:70" x14ac:dyDescent="0.4">
      <c r="A33">
        <v>29</v>
      </c>
      <c r="B33">
        <v>6.1496030244803247E-2</v>
      </c>
      <c r="D33">
        <v>7.1912752068308307E-3</v>
      </c>
      <c r="E33">
        <v>7.9412494996334321E-2</v>
      </c>
      <c r="F33">
        <v>2.2436617229832163E-2</v>
      </c>
      <c r="G33">
        <v>1.240846995076819E-2</v>
      </c>
      <c r="H33">
        <v>3.2465903834344015E-2</v>
      </c>
      <c r="I33">
        <v>4.8867470739900366E-2</v>
      </c>
      <c r="J33">
        <v>3.4223089364664533E-2</v>
      </c>
      <c r="K33">
        <v>0.16786098071657879</v>
      </c>
      <c r="L33">
        <v>8.8897487544493267E-2</v>
      </c>
      <c r="M33">
        <v>0.1262113843567724</v>
      </c>
      <c r="N33">
        <v>1.2416444745186736E-2</v>
      </c>
      <c r="O33">
        <v>2.3966606580480268E-3</v>
      </c>
      <c r="P33">
        <v>8.2322949646142035E-2</v>
      </c>
      <c r="Q33">
        <v>7.7659988667697688E-2</v>
      </c>
      <c r="R33">
        <v>1.4786799644021102E-2</v>
      </c>
      <c r="S33">
        <v>0.21284695155882438</v>
      </c>
      <c r="T33">
        <v>2.5384564997527791E-2</v>
      </c>
      <c r="U33">
        <v>9.0551570851884783E-2</v>
      </c>
      <c r="V33">
        <v>2.6437710192002042E-2</v>
      </c>
      <c r="W33">
        <v>5.2979006884971695E-2</v>
      </c>
      <c r="X33">
        <v>0.15207731343201625</v>
      </c>
      <c r="Y33">
        <v>0.16823016638717225</v>
      </c>
      <c r="Z33">
        <v>2.4152429376231386E-2</v>
      </c>
      <c r="AA33">
        <v>-7.9021161899181708E-2</v>
      </c>
      <c r="AB33">
        <v>3.135573714373846E-2</v>
      </c>
      <c r="AC33">
        <v>0.1562999313956929</v>
      </c>
      <c r="AD33">
        <v>4.5968381856111566E-2</v>
      </c>
      <c r="AE33">
        <v>0.12089083750631834</v>
      </c>
      <c r="AF33" s="33">
        <f t="shared" si="0"/>
        <v>4.4107515630529691E-2</v>
      </c>
      <c r="AG33" s="33">
        <f t="shared" si="2"/>
        <v>3.8343503566665861E-2</v>
      </c>
      <c r="AH33" s="33">
        <f t="shared" si="1"/>
        <v>8.8399625197984458E-2</v>
      </c>
      <c r="AI33" s="33">
        <f t="shared" si="3"/>
        <v>7.8195541434522967E-2</v>
      </c>
      <c r="AJ33" s="38">
        <v>15</v>
      </c>
      <c r="AK33">
        <v>7.4778728913972511E-2</v>
      </c>
      <c r="AL33">
        <v>0.1963685582151172</v>
      </c>
      <c r="AM33">
        <v>2.4085619391048727E-2</v>
      </c>
      <c r="AN33">
        <v>7.3296753976899998E-2</v>
      </c>
      <c r="AO33">
        <v>1.8724301651044408E-2</v>
      </c>
      <c r="AP33">
        <v>0.33767456452913758</v>
      </c>
      <c r="AQ33">
        <v>1.2924873053211942E-2</v>
      </c>
      <c r="AR33">
        <v>0.20198093597035779</v>
      </c>
      <c r="AS33">
        <v>6.6725164708501946E-3</v>
      </c>
      <c r="AT33">
        <v>0.13606512770028209</v>
      </c>
      <c r="AU33">
        <v>1.6452080574202586E-2</v>
      </c>
      <c r="AV33">
        <v>3.9987998935546658E-2</v>
      </c>
      <c r="AW33">
        <v>5.0909614955573362E-2</v>
      </c>
      <c r="AX33">
        <v>0.14606547419753679</v>
      </c>
      <c r="AY33">
        <v>1.858145679734929E-2</v>
      </c>
      <c r="AZ33">
        <v>0.14137824543037728</v>
      </c>
      <c r="BA33">
        <v>5.2965270119499717E-2</v>
      </c>
      <c r="BB33">
        <v>0.14121396626819555</v>
      </c>
      <c r="BC33">
        <v>2.0514657734874198E-2</v>
      </c>
      <c r="BD33">
        <v>0.20342335939395664</v>
      </c>
      <c r="BE33">
        <v>3.2995944030488403E-2</v>
      </c>
      <c r="BF33">
        <v>0.23838428718279672</v>
      </c>
      <c r="BG33">
        <v>1.945389330987014E-2</v>
      </c>
      <c r="BH33">
        <v>0.16786098071657884</v>
      </c>
      <c r="BI33">
        <v>3.5889885695861774E-2</v>
      </c>
      <c r="BJ33">
        <v>7.7557476106953405E-2</v>
      </c>
      <c r="BK33">
        <v>2.4548249003285734E-2</v>
      </c>
      <c r="BL33">
        <v>-3.2262310122928885E-2</v>
      </c>
      <c r="BM33">
        <v>2.5115284260816925E-2</v>
      </c>
      <c r="BN33">
        <v>4.0758684219205199E-2</v>
      </c>
      <c r="BO33" s="33">
        <f t="shared" si="4"/>
        <v>2.8974158397463326E-2</v>
      </c>
      <c r="BP33" s="33">
        <f t="shared" si="5"/>
        <v>1.805584086653762E-2</v>
      </c>
      <c r="BQ33" s="33">
        <f t="shared" si="6"/>
        <v>0.14065027351466755</v>
      </c>
      <c r="BR33" s="33">
        <f t="shared" si="7"/>
        <v>9.1999901797149689E-2</v>
      </c>
    </row>
    <row r="34" spans="1:70" x14ac:dyDescent="0.4">
      <c r="A34">
        <v>30</v>
      </c>
      <c r="B34">
        <v>5.804232335142246E-2</v>
      </c>
      <c r="D34">
        <v>6.2182565740989595E-3</v>
      </c>
      <c r="E34">
        <v>8.9519598394898758E-2</v>
      </c>
      <c r="F34">
        <v>2.0819961821316704E-2</v>
      </c>
      <c r="G34">
        <v>6.1186463545596145E-3</v>
      </c>
      <c r="H34">
        <v>3.0313719486260181E-2</v>
      </c>
      <c r="I34">
        <v>5.2167563469397313E-2</v>
      </c>
      <c r="J34">
        <v>2.9936519772496426E-2</v>
      </c>
      <c r="K34">
        <v>0.17144060690811005</v>
      </c>
      <c r="L34">
        <v>8.8506406703237117E-2</v>
      </c>
      <c r="M34">
        <v>0.14686456173192219</v>
      </c>
      <c r="N34">
        <v>1.3965554097337091E-2</v>
      </c>
      <c r="O34">
        <v>-5.0666371227032292E-3</v>
      </c>
      <c r="P34">
        <v>7.1683570248416775E-2</v>
      </c>
      <c r="Q34">
        <v>7.0592958285155674E-2</v>
      </c>
      <c r="R34">
        <v>1.2961568545295472E-2</v>
      </c>
      <c r="S34">
        <v>0.25898449400149537</v>
      </c>
      <c r="T34">
        <v>3.009637095125885E-2</v>
      </c>
      <c r="U34">
        <v>0.1170700624699883</v>
      </c>
      <c r="V34">
        <v>2.5331678217746015E-2</v>
      </c>
      <c r="W34">
        <v>8.6705623465372639E-2</v>
      </c>
      <c r="X34">
        <v>0.16549777473984678</v>
      </c>
      <c r="Y34">
        <v>0.15428699441797308</v>
      </c>
      <c r="Z34">
        <v>2.0137996735911382E-2</v>
      </c>
      <c r="AA34">
        <v>-8.7926183287212564E-2</v>
      </c>
      <c r="AB34">
        <v>3.8450922096221134E-2</v>
      </c>
      <c r="AC34">
        <v>0.10243920915490852</v>
      </c>
      <c r="AD34">
        <v>4.2508391947027803E-2</v>
      </c>
      <c r="AE34">
        <v>0.14801041475396176</v>
      </c>
      <c r="AF34" s="33">
        <f t="shared" si="0"/>
        <v>4.3631401019192877E-2</v>
      </c>
      <c r="AG34" s="33">
        <f t="shared" si="2"/>
        <v>4.0588184554832554E-2</v>
      </c>
      <c r="AH34" s="33">
        <f t="shared" si="1"/>
        <v>9.3657708071273396E-2</v>
      </c>
      <c r="AI34" s="33">
        <f t="shared" si="3"/>
        <v>8.6010123927949808E-2</v>
      </c>
      <c r="AJ34" s="38">
        <v>15</v>
      </c>
      <c r="AK34">
        <v>7.0825409676838078E-2</v>
      </c>
      <c r="AL34">
        <v>0.18814250111501046</v>
      </c>
      <c r="AM34">
        <v>2.3115679531294075E-2</v>
      </c>
      <c r="AN34">
        <v>7.6770014596555539E-2</v>
      </c>
      <c r="AO34">
        <v>1.6986262675654475E-2</v>
      </c>
      <c r="AP34">
        <v>0.3543386663610949</v>
      </c>
      <c r="AQ34">
        <v>1.1469582003598698E-2</v>
      </c>
      <c r="AR34">
        <v>0.17671772274665548</v>
      </c>
      <c r="AS34">
        <v>5.8047434372140725E-3</v>
      </c>
      <c r="AT34">
        <v>0.14011883857187199</v>
      </c>
      <c r="AU34">
        <v>1.5640758337608595E-2</v>
      </c>
      <c r="AV34">
        <v>0.1560829271451773</v>
      </c>
      <c r="AW34">
        <v>4.8020745142287311E-2</v>
      </c>
      <c r="AX34">
        <v>0.15110556571264142</v>
      </c>
      <c r="AY34">
        <v>1.2225327746068318E-2</v>
      </c>
      <c r="AZ34">
        <v>0.32351267431717434</v>
      </c>
      <c r="BA34">
        <v>4.7575339596665718E-2</v>
      </c>
      <c r="BB34">
        <v>0.13860553058410444</v>
      </c>
      <c r="BC34">
        <v>1.7824621771809199E-2</v>
      </c>
      <c r="BD34">
        <v>0.19759727380607534</v>
      </c>
      <c r="BE34">
        <v>3.057816099562212E-2</v>
      </c>
      <c r="BF34">
        <v>0.22696975594962837</v>
      </c>
      <c r="BG34">
        <v>1.7596008194835276E-2</v>
      </c>
      <c r="BH34">
        <v>0.17144060690811</v>
      </c>
      <c r="BI34">
        <v>3.4289140787514286E-2</v>
      </c>
      <c r="BJ34">
        <v>9.2642074483233375E-2</v>
      </c>
      <c r="BK34">
        <v>2.3672460319309255E-2</v>
      </c>
      <c r="BL34">
        <v>-3.8317054000240006E-2</v>
      </c>
      <c r="BM34">
        <v>2.4008943608180587E-2</v>
      </c>
      <c r="BN34">
        <v>5.9120388629138668E-2</v>
      </c>
      <c r="BO34" s="33">
        <f t="shared" si="4"/>
        <v>2.6642212254966668E-2</v>
      </c>
      <c r="BP34" s="33">
        <f t="shared" si="5"/>
        <v>1.7311552768938341E-2</v>
      </c>
      <c r="BQ34" s="33">
        <f t="shared" si="6"/>
        <v>0.16098983246174878</v>
      </c>
      <c r="BR34" s="33">
        <f t="shared" si="7"/>
        <v>9.7653980066614132E-2</v>
      </c>
    </row>
    <row r="35" spans="1:70" x14ac:dyDescent="0.4">
      <c r="A35">
        <v>31</v>
      </c>
      <c r="B35">
        <v>5.5230620097202608E-2</v>
      </c>
      <c r="D35">
        <v>5.7085383885207676E-3</v>
      </c>
      <c r="E35">
        <v>3.6450556978698513E-2</v>
      </c>
      <c r="F35">
        <v>1.9211299618480299E-2</v>
      </c>
      <c r="G35">
        <v>6.7978809625458469E-3</v>
      </c>
      <c r="H35">
        <v>2.7970601507093983E-2</v>
      </c>
      <c r="I35">
        <v>5.8640271119315274E-2</v>
      </c>
      <c r="J35">
        <v>2.621757580913767E-2</v>
      </c>
      <c r="K35">
        <v>0.1149994149043793</v>
      </c>
      <c r="L35">
        <v>2.9464481741722622E-2</v>
      </c>
      <c r="M35">
        <v>0.11581330417369312</v>
      </c>
      <c r="N35">
        <v>1.9961270202897358E-2</v>
      </c>
      <c r="O35">
        <v>-8.0023949769783276E-3</v>
      </c>
      <c r="P35">
        <v>6.3918792653732584E-2</v>
      </c>
      <c r="Q35">
        <v>6.0115537817052186E-2</v>
      </c>
      <c r="R35">
        <v>1.1188742702442796E-2</v>
      </c>
      <c r="S35">
        <v>0.13951148583338485</v>
      </c>
      <c r="T35">
        <v>2.8649425122142635E-2</v>
      </c>
      <c r="U35">
        <v>0.13629029013423993</v>
      </c>
      <c r="V35">
        <v>2.4261748288089538E-2</v>
      </c>
      <c r="W35">
        <v>8.528256904343634E-2</v>
      </c>
      <c r="X35">
        <v>0.18193556037773762</v>
      </c>
      <c r="Y35">
        <v>0.14838166176078066</v>
      </c>
      <c r="Z35">
        <v>1.8997129356143044E-2</v>
      </c>
      <c r="AA35">
        <v>-0.10945198991992533</v>
      </c>
      <c r="AB35">
        <v>3.2108197618070065E-2</v>
      </c>
      <c r="AC35">
        <v>0.20089514228798896</v>
      </c>
      <c r="AD35">
        <v>3.9060485405687989E-2</v>
      </c>
      <c r="AE35">
        <v>0.12683103815551525</v>
      </c>
      <c r="AF35" s="33">
        <f t="shared" si="0"/>
        <v>3.8925631259273431E-2</v>
      </c>
      <c r="AG35" s="33">
        <f t="shared" si="2"/>
        <v>4.2341008544427905E-2</v>
      </c>
      <c r="AH35" s="33">
        <f t="shared" si="1"/>
        <v>7.946819773386618E-2</v>
      </c>
      <c r="AI35" s="33">
        <f t="shared" si="3"/>
        <v>7.9648147866727831E-2</v>
      </c>
      <c r="AJ35" s="38">
        <v>15</v>
      </c>
      <c r="AK35">
        <v>6.6785348595790273E-2</v>
      </c>
      <c r="AL35">
        <v>0.18149649373163215</v>
      </c>
      <c r="AM35">
        <v>2.2407923078847237E-2</v>
      </c>
      <c r="AN35">
        <v>6.2642274305431067E-2</v>
      </c>
      <c r="AO35">
        <v>1.5340407576204907E-2</v>
      </c>
      <c r="AP35">
        <v>0.33858352114270934</v>
      </c>
      <c r="AQ35">
        <v>9.9870107498496018E-3</v>
      </c>
      <c r="AR35">
        <v>0.2151800994310189</v>
      </c>
      <c r="AS35">
        <v>5.199160131034517E-3</v>
      </c>
      <c r="AT35">
        <v>0.12382041762891731</v>
      </c>
      <c r="AU35">
        <v>1.5098957071648442E-2</v>
      </c>
      <c r="AV35">
        <v>0.14722326702699731</v>
      </c>
      <c r="AW35">
        <v>4.4585412331398143E-2</v>
      </c>
      <c r="AX35">
        <v>0.15419159456489251</v>
      </c>
      <c r="AY35">
        <v>9.1895939407540452E-3</v>
      </c>
      <c r="AZ35">
        <v>0.41785134984098149</v>
      </c>
      <c r="BA35">
        <v>4.3693621004946774E-2</v>
      </c>
      <c r="BB35">
        <v>0.1350793106900956</v>
      </c>
      <c r="BC35">
        <v>1.55844645185539E-2</v>
      </c>
      <c r="BD35">
        <v>0.19608006998817329</v>
      </c>
      <c r="BE35">
        <v>2.8807894570125003E-2</v>
      </c>
      <c r="BF35">
        <v>0.22165734063751413</v>
      </c>
      <c r="BG35">
        <v>1.5459192054138687E-2</v>
      </c>
      <c r="BH35">
        <v>0.11499941490437933</v>
      </c>
      <c r="BI35">
        <v>3.2802904937939421E-2</v>
      </c>
      <c r="BJ35">
        <v>7.1453886238293352E-2</v>
      </c>
      <c r="BK35">
        <v>2.3023237974852472E-2</v>
      </c>
      <c r="BL35">
        <v>-2.5362714370617781E-2</v>
      </c>
      <c r="BM35">
        <v>2.2783569801953507E-2</v>
      </c>
      <c r="BN35">
        <v>-4.6066780349299827E-2</v>
      </c>
      <c r="BO35" s="33">
        <f t="shared" si="4"/>
        <v>2.4716579889202461E-2</v>
      </c>
      <c r="BP35" s="33">
        <f t="shared" si="5"/>
        <v>1.6490742949987203E-2</v>
      </c>
      <c r="BQ35" s="33">
        <f t="shared" si="6"/>
        <v>0.15392196969407451</v>
      </c>
      <c r="BR35" s="33">
        <f t="shared" si="7"/>
        <v>0.12092779147219233</v>
      </c>
    </row>
    <row r="36" spans="1:70" x14ac:dyDescent="0.4">
      <c r="A36">
        <v>32</v>
      </c>
      <c r="B36">
        <v>5.2578881632554579E-2</v>
      </c>
      <c r="D36">
        <v>5.3117478041784273E-3</v>
      </c>
      <c r="E36">
        <v>2.1411179563379849E-2</v>
      </c>
      <c r="F36">
        <v>1.7870874863397369E-2</v>
      </c>
      <c r="G36">
        <v>1.7974986371271412E-3</v>
      </c>
      <c r="H36">
        <v>2.585815209069656E-2</v>
      </c>
      <c r="I36">
        <v>2.9395413636296146E-2</v>
      </c>
      <c r="J36">
        <v>2.3467139168020169E-2</v>
      </c>
      <c r="K36">
        <v>5.2295886424613428E-2</v>
      </c>
      <c r="L36">
        <v>2.0587141505324751E-2</v>
      </c>
      <c r="M36">
        <v>0.13775347676747021</v>
      </c>
      <c r="N36">
        <v>2.0515475175306972E-2</v>
      </c>
      <c r="O36">
        <v>-1.4887929403854441E-2</v>
      </c>
      <c r="P36">
        <v>6.7321260323929391E-2</v>
      </c>
      <c r="Q36">
        <v>5.0563474899114662E-2</v>
      </c>
      <c r="R36">
        <v>1.023092209379909E-2</v>
      </c>
      <c r="S36">
        <v>0.18131426208016332</v>
      </c>
      <c r="T36">
        <v>2.3582781697499999E-2</v>
      </c>
      <c r="U36">
        <v>0.12574352519415094</v>
      </c>
      <c r="V36">
        <v>2.2863167007088132E-2</v>
      </c>
      <c r="W36">
        <v>4.1689379120507339E-2</v>
      </c>
      <c r="X36">
        <v>0.1581188967246942</v>
      </c>
      <c r="Z36">
        <v>1.8409664776363788E-2</v>
      </c>
      <c r="AA36">
        <v>-8.9175452286704718E-2</v>
      </c>
      <c r="AB36">
        <v>3.1070808933809743E-2</v>
      </c>
      <c r="AC36">
        <v>0.20757289783327104</v>
      </c>
      <c r="AD36">
        <v>3.7746539832281496E-2</v>
      </c>
      <c r="AE36">
        <v>7.5642646783589063E-2</v>
      </c>
      <c r="AF36" s="33">
        <f t="shared" si="0"/>
        <v>3.5702230241929644E-2</v>
      </c>
      <c r="AG36" s="33">
        <f t="shared" si="2"/>
        <v>3.7323721184522374E-2</v>
      </c>
      <c r="AH36" s="33">
        <f t="shared" si="1"/>
        <v>6.3162789173009534E-2</v>
      </c>
      <c r="AI36" s="33">
        <f t="shared" si="3"/>
        <v>8.2227246918994745E-2</v>
      </c>
      <c r="AJ36" s="38">
        <v>15</v>
      </c>
      <c r="AK36">
        <v>6.3069585317201707E-2</v>
      </c>
      <c r="AL36">
        <v>0.1658188708528224</v>
      </c>
      <c r="AM36">
        <v>2.1586566418390071E-2</v>
      </c>
      <c r="AN36">
        <v>5.8570578335659991E-2</v>
      </c>
      <c r="AO36">
        <v>1.3831102088269672E-2</v>
      </c>
      <c r="AP36">
        <v>0.27995097529548535</v>
      </c>
      <c r="AQ36">
        <v>8.7289194892229138E-3</v>
      </c>
      <c r="AR36">
        <v>0.16952036424640662</v>
      </c>
      <c r="AS36">
        <v>4.6273797776776818E-3</v>
      </c>
      <c r="AT36">
        <v>0.15113071563014471</v>
      </c>
      <c r="AU36">
        <v>1.4363307535915621E-2</v>
      </c>
      <c r="AV36">
        <v>0.11032196069375599</v>
      </c>
      <c r="AW36">
        <v>4.3032544203181249E-2</v>
      </c>
      <c r="AX36">
        <v>0.14485262788126024</v>
      </c>
      <c r="AY36">
        <v>6.6029040090472731E-3</v>
      </c>
      <c r="AZ36">
        <v>0.46917208071663158</v>
      </c>
      <c r="BA36">
        <v>4.127922277151664E-2</v>
      </c>
      <c r="BB36">
        <v>0.12464556000417111</v>
      </c>
      <c r="BC36">
        <v>1.39169110396425E-2</v>
      </c>
      <c r="BD36">
        <v>0.18363894452628002</v>
      </c>
      <c r="BE36">
        <v>2.6883739963866716E-2</v>
      </c>
      <c r="BF36">
        <v>0.22553396458595837</v>
      </c>
      <c r="BG36">
        <v>1.52898363719404E-2</v>
      </c>
      <c r="BH36">
        <v>5.2295886424613483E-2</v>
      </c>
      <c r="BI36">
        <v>3.115820416985101E-2</v>
      </c>
      <c r="BJ36">
        <v>6.4064170967286352E-2</v>
      </c>
      <c r="BK36">
        <v>2.2698447169303027E-2</v>
      </c>
      <c r="BL36">
        <v>-4.7422630414051141E-2</v>
      </c>
      <c r="BM36">
        <v>2.219840302174176E-2</v>
      </c>
      <c r="BN36">
        <v>0.20935774732825019</v>
      </c>
      <c r="BO36" s="33">
        <f t="shared" si="4"/>
        <v>2.3284471556451213E-2</v>
      </c>
      <c r="BP36" s="33">
        <f t="shared" si="5"/>
        <v>1.5889919491303296E-2</v>
      </c>
      <c r="BQ36" s="33">
        <f t="shared" si="6"/>
        <v>0.15743012113831167</v>
      </c>
      <c r="BR36" s="33">
        <f t="shared" si="7"/>
        <v>0.11815021235102059</v>
      </c>
    </row>
    <row r="37" spans="1:70" x14ac:dyDescent="0.4">
      <c r="A37">
        <v>33</v>
      </c>
      <c r="B37">
        <v>4.9920902051621453E-2</v>
      </c>
      <c r="D37">
        <v>5.0806738365376672E-3</v>
      </c>
      <c r="E37">
        <v>7.4830597292894138E-2</v>
      </c>
      <c r="F37">
        <v>1.6668553698569115E-2</v>
      </c>
      <c r="G37">
        <v>-1.2859784591559603E-3</v>
      </c>
      <c r="H37">
        <v>2.4131235858299311E-2</v>
      </c>
      <c r="I37">
        <v>4.2497736868076584E-2</v>
      </c>
      <c r="J37">
        <v>2.1296640672329233E-2</v>
      </c>
      <c r="K37">
        <v>9.5427585945478677E-2</v>
      </c>
      <c r="L37">
        <v>1.7410161983257948E-2</v>
      </c>
      <c r="M37">
        <v>0.15818192373374163</v>
      </c>
      <c r="N37">
        <v>2.0309519289955117E-2</v>
      </c>
      <c r="O37">
        <v>-1.2132334662208347E-2</v>
      </c>
      <c r="P37">
        <v>8.1703114235730193E-2</v>
      </c>
      <c r="Q37">
        <v>6.3458756044778769E-2</v>
      </c>
      <c r="R37">
        <v>9.5651854828071228E-3</v>
      </c>
      <c r="S37">
        <v>0.1858157577565123</v>
      </c>
      <c r="T37">
        <v>2.2609913087366828E-2</v>
      </c>
      <c r="U37">
        <v>0.13208891305004491</v>
      </c>
      <c r="V37">
        <v>2.1535953283012256E-2</v>
      </c>
      <c r="W37">
        <v>5.8754277784308098E-2</v>
      </c>
      <c r="X37">
        <v>0.15179888645537429</v>
      </c>
      <c r="Z37">
        <v>1.780635491470808E-2</v>
      </c>
      <c r="AA37">
        <v>-5.3074868677763093E-2</v>
      </c>
      <c r="AB37">
        <v>2.6722904378933716E-2</v>
      </c>
      <c r="AC37">
        <v>0.10941303595652495</v>
      </c>
      <c r="AD37">
        <v>3.529568411186175E-2</v>
      </c>
      <c r="AE37">
        <v>0.1055636528420134</v>
      </c>
      <c r="AF37" s="33">
        <f t="shared" si="0"/>
        <v>3.4790378889357605E-2</v>
      </c>
      <c r="AG37" s="33">
        <f t="shared" si="2"/>
        <v>3.727639184555627E-2</v>
      </c>
      <c r="AH37" s="33">
        <f t="shared" si="1"/>
        <v>7.3810696575018916E-2</v>
      </c>
      <c r="AI37" s="33">
        <f t="shared" si="3"/>
        <v>6.8461739239768352E-2</v>
      </c>
      <c r="AJ37" s="38">
        <v>15</v>
      </c>
      <c r="AK37">
        <v>5.9314326253807538E-2</v>
      </c>
      <c r="AL37">
        <v>0.15582017878423807</v>
      </c>
      <c r="AM37">
        <v>2.097970055238612E-2</v>
      </c>
      <c r="AN37">
        <v>4.4442846090743872E-2</v>
      </c>
      <c r="AO37">
        <v>1.2528121262381547E-2</v>
      </c>
      <c r="AP37">
        <v>0.28734795694419607</v>
      </c>
      <c r="AQ37">
        <v>7.6845542167973306E-3</v>
      </c>
      <c r="AR37">
        <v>0.15783070011567113</v>
      </c>
      <c r="AS37">
        <v>4.1997818278952364E-3</v>
      </c>
      <c r="AT37">
        <v>0.15211280653017473</v>
      </c>
      <c r="AU37">
        <v>1.3720445439417613E-2</v>
      </c>
      <c r="AV37">
        <v>0.11170105597529073</v>
      </c>
      <c r="AW37">
        <v>3.6772878369124351E-2</v>
      </c>
      <c r="AX37">
        <v>0.12553794648313935</v>
      </c>
      <c r="AY37">
        <v>5.543154839561166E-3</v>
      </c>
      <c r="AZ37">
        <v>0.54118954562696819</v>
      </c>
      <c r="BA37">
        <v>3.9469419963876408E-2</v>
      </c>
      <c r="BB37">
        <v>0.11981512900316058</v>
      </c>
      <c r="BC37">
        <v>1.2587689171082699E-2</v>
      </c>
      <c r="BD37">
        <v>0.18570235630055199</v>
      </c>
      <c r="BE37">
        <v>2.5529475181359632E-2</v>
      </c>
      <c r="BF37">
        <v>0.18526006383068919</v>
      </c>
      <c r="BG37">
        <v>1.4330938044606249E-2</v>
      </c>
      <c r="BH37">
        <v>9.5427585945478705E-2</v>
      </c>
      <c r="BI37">
        <v>2.9798643656358835E-2</v>
      </c>
      <c r="BJ37">
        <v>5.9115903801165333E-2</v>
      </c>
      <c r="BK37">
        <v>2.2195867369544629E-2</v>
      </c>
      <c r="BL37">
        <v>-4.8783781515368912E-2</v>
      </c>
      <c r="BM37">
        <v>2.1632888921863058E-2</v>
      </c>
      <c r="BN37">
        <v>3.8437899966697178E-2</v>
      </c>
      <c r="BO37" s="33">
        <f t="shared" si="4"/>
        <v>2.1752525671337491E-2</v>
      </c>
      <c r="BP37" s="33">
        <f t="shared" si="5"/>
        <v>1.4850757960009247E-2</v>
      </c>
      <c r="BQ37" s="33">
        <f t="shared" si="6"/>
        <v>0.14739721292551974</v>
      </c>
      <c r="BR37" s="33">
        <f t="shared" si="7"/>
        <v>0.13409151849417186</v>
      </c>
    </row>
    <row r="38" spans="1:70" x14ac:dyDescent="0.4">
      <c r="A38">
        <v>34</v>
      </c>
      <c r="B38">
        <v>4.809961626958096E-2</v>
      </c>
      <c r="D38">
        <v>4.6432156719495082E-3</v>
      </c>
      <c r="E38">
        <v>5.3861729119961968E-2</v>
      </c>
      <c r="F38">
        <v>1.558131927220459E-2</v>
      </c>
      <c r="G38">
        <v>-3.6412107451228694E-3</v>
      </c>
      <c r="H38">
        <v>2.2515991042038084E-2</v>
      </c>
      <c r="I38">
        <v>3.3622286867105396E-2</v>
      </c>
      <c r="J38">
        <v>2.0171400350811067E-2</v>
      </c>
      <c r="K38">
        <v>3.8303699954481019E-2</v>
      </c>
      <c r="L38">
        <v>1.6267297833390496E-2</v>
      </c>
      <c r="M38">
        <v>0.11599716199428815</v>
      </c>
      <c r="N38">
        <v>2.2740627688758477E-2</v>
      </c>
      <c r="O38">
        <v>-1.4424061159844105E-2</v>
      </c>
      <c r="P38">
        <v>8.7277914148548005E-2</v>
      </c>
      <c r="Q38">
        <v>4.8294859294279881E-2</v>
      </c>
      <c r="R38">
        <v>8.2380953102175643E-3</v>
      </c>
      <c r="S38">
        <v>0.11409195201141134</v>
      </c>
      <c r="T38">
        <v>2.1946878201000119E-2</v>
      </c>
      <c r="U38">
        <v>0.18607878317542642</v>
      </c>
      <c r="V38">
        <v>1.9975229267508433E-2</v>
      </c>
      <c r="W38">
        <v>9.8137579094200039E-2</v>
      </c>
      <c r="X38">
        <v>0.14803041802085098</v>
      </c>
      <c r="Z38">
        <v>1.7190531226093278E-2</v>
      </c>
      <c r="AA38">
        <v>-7.3639705847961423E-2</v>
      </c>
      <c r="AB38">
        <v>2.346809674403285E-2</v>
      </c>
      <c r="AC38">
        <v>0.18191449828489822</v>
      </c>
      <c r="AD38">
        <v>3.3148083284665203E-2</v>
      </c>
      <c r="AE38">
        <v>8.8227069928603435E-2</v>
      </c>
      <c r="AF38" s="33">
        <f t="shared" si="0"/>
        <v>3.3952980955443308E-2</v>
      </c>
      <c r="AG38" s="33">
        <f t="shared" si="2"/>
        <v>3.7230454560676217E-2</v>
      </c>
      <c r="AH38" s="33">
        <f t="shared" si="1"/>
        <v>6.6678818613209803E-2</v>
      </c>
      <c r="AI38" s="33">
        <f t="shared" si="3"/>
        <v>7.4878735133209154E-2</v>
      </c>
      <c r="AJ38" s="38">
        <v>15</v>
      </c>
      <c r="AK38">
        <v>5.6431729333602298E-2</v>
      </c>
      <c r="AL38">
        <v>0.14999905451776849</v>
      </c>
      <c r="AM38">
        <v>2.0127236504072183E-2</v>
      </c>
      <c r="AN38">
        <v>4.397348136317944E-2</v>
      </c>
      <c r="AO38">
        <v>1.1394303240502991E-2</v>
      </c>
      <c r="AP38">
        <v>0.28291812822241863</v>
      </c>
      <c r="AQ38">
        <v>6.7927222346870209E-3</v>
      </c>
      <c r="AR38">
        <v>0.17924162637044699</v>
      </c>
      <c r="AS38">
        <v>3.7716283774014659E-3</v>
      </c>
      <c r="AT38">
        <v>0.16477542432629202</v>
      </c>
      <c r="AU38">
        <v>1.3039499340162384E-2</v>
      </c>
      <c r="AV38">
        <v>9.1913100744982365E-2</v>
      </c>
      <c r="AW38">
        <v>3.1780991491135127E-2</v>
      </c>
      <c r="AX38">
        <v>0.14442139485115474</v>
      </c>
      <c r="AY38">
        <v>4.8330449771246068E-3</v>
      </c>
      <c r="AZ38">
        <v>0.50653452495132245</v>
      </c>
      <c r="BA38">
        <v>3.572879640780998E-2</v>
      </c>
      <c r="BB38">
        <v>0.10237723663305112</v>
      </c>
      <c r="BC38">
        <v>1.1137245074552601E-2</v>
      </c>
      <c r="BD38">
        <v>0.17574946159068863</v>
      </c>
      <c r="BE38">
        <v>2.397881223720252E-2</v>
      </c>
      <c r="BF38">
        <v>0.19229542523484089</v>
      </c>
      <c r="BG38">
        <v>1.2781188295925413E-2</v>
      </c>
      <c r="BH38">
        <v>3.8303699954481053E-2</v>
      </c>
      <c r="BI38">
        <v>2.8459227452635964E-2</v>
      </c>
      <c r="BJ38">
        <v>5.1486401617341353E-2</v>
      </c>
      <c r="BK38">
        <v>2.1833267993178161E-2</v>
      </c>
      <c r="BL38">
        <v>-4.8361355577868921E-2</v>
      </c>
      <c r="BM38">
        <v>2.0648626891684473E-2</v>
      </c>
      <c r="BN38">
        <v>6.6407039303626167E-2</v>
      </c>
      <c r="BO38" s="33">
        <f t="shared" si="4"/>
        <v>2.0182554656778481E-2</v>
      </c>
      <c r="BP38" s="33">
        <f t="shared" si="5"/>
        <v>1.3951804975821784E-2</v>
      </c>
      <c r="BQ38" s="33">
        <f t="shared" si="6"/>
        <v>0.14280230960691501</v>
      </c>
      <c r="BR38" s="33">
        <f t="shared" si="7"/>
        <v>0.12899697688967596</v>
      </c>
    </row>
    <row r="39" spans="1:70" x14ac:dyDescent="0.4">
      <c r="A39">
        <v>35</v>
      </c>
      <c r="B39">
        <v>4.8131790747759688E-2</v>
      </c>
      <c r="D39">
        <v>4.1396282663527196E-3</v>
      </c>
      <c r="E39">
        <v>1.0845881367463126E-2</v>
      </c>
      <c r="F39">
        <v>1.4595220553891831E-2</v>
      </c>
      <c r="G39">
        <v>-6.1324289961969146E-3</v>
      </c>
      <c r="H39">
        <v>2.1179709075522031E-2</v>
      </c>
      <c r="I39">
        <v>1.8431050373832251E-2</v>
      </c>
      <c r="J39">
        <v>1.7537083580114042E-2</v>
      </c>
      <c r="K39">
        <v>5.8173836404268417E-2</v>
      </c>
      <c r="L39">
        <v>1.284764225407682E-2</v>
      </c>
      <c r="M39">
        <v>0.16454793843560384</v>
      </c>
      <c r="N39">
        <v>2.1020053609450109E-2</v>
      </c>
      <c r="O39">
        <v>-1.912072074356307E-2</v>
      </c>
      <c r="P39">
        <v>6.1705345779760216E-2</v>
      </c>
      <c r="Q39">
        <v>5.3249984117288561E-2</v>
      </c>
      <c r="R39">
        <v>8.6661394961405173E-3</v>
      </c>
      <c r="S39">
        <v>0.21685940484316682</v>
      </c>
      <c r="T39">
        <v>2.1337174500955455E-2</v>
      </c>
      <c r="U39">
        <v>6.2587502401843298E-2</v>
      </c>
      <c r="V39">
        <v>1.9126468711808689E-2</v>
      </c>
      <c r="W39">
        <v>8.6338004734170276E-2</v>
      </c>
      <c r="X39">
        <v>0.15782007676828533</v>
      </c>
      <c r="Z39">
        <v>1.6867831417201808E-2</v>
      </c>
      <c r="AA39">
        <v>-0.11746010081901402</v>
      </c>
      <c r="AB39">
        <v>2.2851355794596059E-2</v>
      </c>
      <c r="AC39">
        <v>0.19058790571816017</v>
      </c>
      <c r="AD39">
        <v>3.3995194788697496E-2</v>
      </c>
      <c r="AE39">
        <v>2.0611470309048436E-2</v>
      </c>
      <c r="AF39" s="33">
        <f t="shared" si="0"/>
        <v>3.2121381022974189E-2</v>
      </c>
      <c r="AG39" s="33">
        <f t="shared" si="2"/>
        <v>3.7802513159620937E-2</v>
      </c>
      <c r="AH39" s="33">
        <f t="shared" si="1"/>
        <v>5.6886132934313167E-2</v>
      </c>
      <c r="AI39" s="33">
        <f t="shared" si="3"/>
        <v>9.1757294771201647E-2</v>
      </c>
      <c r="AJ39" s="38">
        <v>15</v>
      </c>
      <c r="AK39">
        <v>5.3079041372976546E-2</v>
      </c>
      <c r="AL39">
        <v>0.14236318798482347</v>
      </c>
      <c r="AM39">
        <v>1.963149367821574E-2</v>
      </c>
      <c r="AN39">
        <v>2.9646267306697796E-2</v>
      </c>
      <c r="AO39">
        <v>1.0324088177589718E-2</v>
      </c>
      <c r="AP39">
        <v>0.25222275973070513</v>
      </c>
      <c r="AQ39">
        <v>5.990068435272668E-3</v>
      </c>
      <c r="AR39">
        <v>0.15036766290379994</v>
      </c>
      <c r="AS39">
        <v>3.4482583583642372E-3</v>
      </c>
      <c r="AT39">
        <v>0.11149211806514402</v>
      </c>
      <c r="AU39">
        <v>1.216228216313131E-2</v>
      </c>
      <c r="AV39">
        <v>8.4401195603904369E-2</v>
      </c>
      <c r="AW39">
        <v>2.6677525495073479E-2</v>
      </c>
      <c r="AX39">
        <v>0.12151194921137708</v>
      </c>
      <c r="AY39">
        <v>2.2112612252752181E-3</v>
      </c>
      <c r="AZ39">
        <v>0.44384261149713994</v>
      </c>
      <c r="BA39">
        <v>3.302636453104979E-2</v>
      </c>
      <c r="BB39">
        <v>0.11010594239877337</v>
      </c>
      <c r="BC39">
        <v>1.0018728357549E-2</v>
      </c>
      <c r="BD39">
        <v>0.16264077914429334</v>
      </c>
      <c r="BE39">
        <v>2.2427735199240868E-2</v>
      </c>
      <c r="BF39">
        <v>0.19495164372090662</v>
      </c>
      <c r="BG39">
        <v>1.0440725098857953E-2</v>
      </c>
      <c r="BH39">
        <v>5.8173836404268472E-2</v>
      </c>
      <c r="BI39">
        <v>2.7505854703694581E-2</v>
      </c>
      <c r="BJ39">
        <v>4.7170290400269363E-2</v>
      </c>
      <c r="BK39">
        <v>2.147266912438037E-2</v>
      </c>
      <c r="BL39">
        <v>-5.3360034745533483E-2</v>
      </c>
      <c r="BM39">
        <v>1.994942128603366E-2</v>
      </c>
      <c r="BN39">
        <v>4.825013135890243E-2</v>
      </c>
      <c r="BO39" s="33">
        <f t="shared" si="4"/>
        <v>1.8557701147113678E-2</v>
      </c>
      <c r="BP39" s="33">
        <f t="shared" si="5"/>
        <v>1.3294924225608285E-2</v>
      </c>
      <c r="BQ39" s="33">
        <f t="shared" si="6"/>
        <v>0.12691868939903148</v>
      </c>
      <c r="BR39" s="33">
        <f t="shared" si="7"/>
        <v>0.11477592581270789</v>
      </c>
    </row>
    <row r="40" spans="1:70" x14ac:dyDescent="0.4">
      <c r="A40">
        <v>36</v>
      </c>
      <c r="B40">
        <v>4.5340492353099497E-2</v>
      </c>
      <c r="D40">
        <v>5.2853989204825402E-3</v>
      </c>
      <c r="E40">
        <v>5.3430492639948854E-2</v>
      </c>
      <c r="F40">
        <v>1.3731748159145907E-2</v>
      </c>
      <c r="G40">
        <v>-1.0158136727559252E-2</v>
      </c>
      <c r="H40">
        <v>2.0193833715252359E-2</v>
      </c>
      <c r="I40">
        <v>2.2358804241413954E-2</v>
      </c>
      <c r="J40">
        <v>1.6183110074484221E-2</v>
      </c>
      <c r="K40">
        <v>5.1382948653803932E-2</v>
      </c>
      <c r="L40">
        <v>1.0273431652232348E-2</v>
      </c>
      <c r="M40">
        <v>0.12059356118890112</v>
      </c>
      <c r="N40">
        <v>2.0242243093812846E-2</v>
      </c>
      <c r="O40">
        <v>-1.9971835708548682E-2</v>
      </c>
      <c r="P40">
        <v>5.2699982741126875E-2</v>
      </c>
      <c r="Q40">
        <v>4.8473958321355412E-2</v>
      </c>
      <c r="R40">
        <v>8.0744184624945876E-3</v>
      </c>
      <c r="S40">
        <v>0.20127644890489529</v>
      </c>
      <c r="T40">
        <v>2.0990365472272444E-2</v>
      </c>
      <c r="U40">
        <v>9.6214761960007417E-2</v>
      </c>
      <c r="V40">
        <v>1.83613670331358E-2</v>
      </c>
      <c r="W40">
        <v>7.3459280094993265E-2</v>
      </c>
      <c r="X40">
        <v>0.15223938741844625</v>
      </c>
      <c r="Z40">
        <v>1.6350802557666844E-2</v>
      </c>
      <c r="AA40">
        <v>-7.2318368627005358E-2</v>
      </c>
      <c r="AB40">
        <v>3.0552750432455481E-2</v>
      </c>
      <c r="AC40">
        <v>0.10923758421411349</v>
      </c>
      <c r="AD40">
        <v>2.988182916673391E-2</v>
      </c>
      <c r="AE40">
        <v>4.8420401038285814E-2</v>
      </c>
      <c r="AF40" s="33">
        <f t="shared" si="0"/>
        <v>3.0693410750189463E-2</v>
      </c>
      <c r="AG40" s="33">
        <f t="shared" si="2"/>
        <v>3.6072094650487149E-2</v>
      </c>
      <c r="AH40" s="33">
        <f t="shared" si="1"/>
        <v>5.556922309189271E-2</v>
      </c>
      <c r="AI40" s="33">
        <f t="shared" si="3"/>
        <v>6.9473868039249473E-2</v>
      </c>
      <c r="AJ40" s="38">
        <v>15</v>
      </c>
      <c r="AK40">
        <v>5.0429802317143987E-2</v>
      </c>
      <c r="AL40">
        <v>0.13323493709224049</v>
      </c>
      <c r="AM40">
        <v>1.8956387685949219E-2</v>
      </c>
      <c r="AN40">
        <v>2.1714085117422226E-2</v>
      </c>
      <c r="AO40">
        <v>9.6136726229772238E-3</v>
      </c>
      <c r="AP40">
        <v>0.28060918339599872</v>
      </c>
      <c r="AQ40">
        <v>5.3190851966164361E-3</v>
      </c>
      <c r="AR40">
        <v>0.1861853837213224</v>
      </c>
      <c r="AS40">
        <v>3.1163625886341416E-3</v>
      </c>
      <c r="AT40">
        <v>0.14408897370626939</v>
      </c>
      <c r="AU40">
        <v>1.1604177864588033E-2</v>
      </c>
      <c r="AV40">
        <v>7.1665444858641347E-2</v>
      </c>
      <c r="AW40">
        <v>2.3406421514456769E-2</v>
      </c>
      <c r="AX40">
        <v>7.6238847793190387E-2</v>
      </c>
      <c r="AY40">
        <v>6.6886918472451346E-4</v>
      </c>
      <c r="AZ40">
        <v>0.47879846281910354</v>
      </c>
      <c r="BA40">
        <v>3.1084317180408171E-2</v>
      </c>
      <c r="BB40">
        <v>0.10957459336673118</v>
      </c>
      <c r="BC40">
        <v>8.6167959577606503E-3</v>
      </c>
      <c r="BD40">
        <v>0.16409729152466201</v>
      </c>
      <c r="BE40">
        <v>2.1437420756202988E-2</v>
      </c>
      <c r="BF40">
        <v>0.16968173948069754</v>
      </c>
      <c r="BG40">
        <v>8.4131925749727898E-3</v>
      </c>
      <c r="BH40">
        <v>5.1382948653803932E-2</v>
      </c>
      <c r="BI40">
        <v>2.6549756645353369E-2</v>
      </c>
      <c r="BJ40">
        <v>4.0063961148297349E-2</v>
      </c>
      <c r="BK40">
        <v>2.0907875318463338E-2</v>
      </c>
      <c r="BL40">
        <v>-5.5073203036020035E-2</v>
      </c>
      <c r="BM40">
        <v>1.9245466023245079E-2</v>
      </c>
      <c r="BN40">
        <v>7.8096403487885657E-2</v>
      </c>
      <c r="BO40" s="33">
        <f t="shared" si="4"/>
        <v>1.7291306895433112E-2</v>
      </c>
      <c r="BP40" s="33">
        <f t="shared" si="5"/>
        <v>1.2857203989079847E-2</v>
      </c>
      <c r="BQ40" s="33">
        <f t="shared" si="6"/>
        <v>0.13002393687534974</v>
      </c>
      <c r="BR40" s="33">
        <f t="shared" si="7"/>
        <v>0.12538453320569617</v>
      </c>
    </row>
    <row r="41" spans="1:70" x14ac:dyDescent="0.4">
      <c r="A41">
        <v>37</v>
      </c>
      <c r="B41">
        <v>4.1023068182685217E-2</v>
      </c>
      <c r="D41">
        <v>4.8889089702766819E-3</v>
      </c>
      <c r="E41">
        <v>2.3351743230594905E-2</v>
      </c>
      <c r="F41">
        <v>1.2775418779339092E-2</v>
      </c>
      <c r="G41">
        <v>-1.2518890715974658E-2</v>
      </c>
      <c r="H41">
        <v>1.907683659013985E-2</v>
      </c>
      <c r="I41">
        <v>2.7061321666179968E-2</v>
      </c>
      <c r="J41">
        <v>1.4453815140984138E-2</v>
      </c>
      <c r="K41">
        <v>2.2772012112760626E-3</v>
      </c>
      <c r="L41">
        <v>9.0827399011338787E-3</v>
      </c>
      <c r="M41">
        <v>0.11965385381559618</v>
      </c>
      <c r="N41">
        <v>2.0076668176859439E-2</v>
      </c>
      <c r="O41">
        <v>-1.859541899211703E-2</v>
      </c>
      <c r="P41">
        <v>4.9117710967249949E-2</v>
      </c>
      <c r="Q41">
        <v>4.1727813001992013E-2</v>
      </c>
      <c r="R41">
        <v>6.0129886549829276E-3</v>
      </c>
      <c r="S41">
        <v>0.10746752934066728</v>
      </c>
      <c r="T41">
        <v>2.0266282617523119E-2</v>
      </c>
      <c r="U41">
        <v>0.13089778976153238</v>
      </c>
      <c r="V41">
        <v>1.761358482604836E-2</v>
      </c>
      <c r="W41">
        <v>8.7844079840372666E-2</v>
      </c>
      <c r="X41">
        <v>0.15111901620118803</v>
      </c>
      <c r="Z41">
        <v>1.5664807448703615E-2</v>
      </c>
      <c r="AA41">
        <v>-0.11595457784054265</v>
      </c>
      <c r="AB41">
        <v>2.5284220048636903E-2</v>
      </c>
      <c r="AC41">
        <v>7.9105415064967127E-2</v>
      </c>
      <c r="AD41">
        <v>2.7067298240668638E-2</v>
      </c>
      <c r="AE41">
        <v>5.4536602489150883E-2</v>
      </c>
      <c r="AF41" s="33">
        <f t="shared" si="0"/>
        <v>2.8901557649761319E-2</v>
      </c>
      <c r="AG41" s="33">
        <f t="shared" si="2"/>
        <v>3.5879611608251143E-2</v>
      </c>
      <c r="AH41" s="33">
        <f t="shared" si="1"/>
        <v>4.0527266297976552E-2</v>
      </c>
      <c r="AI41" s="33">
        <f t="shared" si="3"/>
        <v>6.804964876834331E-2</v>
      </c>
      <c r="AJ41" s="38">
        <v>15</v>
      </c>
      <c r="AK41">
        <v>4.9207133201594075E-2</v>
      </c>
      <c r="AL41">
        <v>0.11660196714310982</v>
      </c>
      <c r="AM41">
        <v>1.8382630332483777E-2</v>
      </c>
      <c r="AN41">
        <v>9.5107279361622034E-3</v>
      </c>
      <c r="AO41">
        <v>8.7213575921221403E-3</v>
      </c>
      <c r="AP41">
        <v>0.23665567104935473</v>
      </c>
      <c r="AQ41">
        <v>4.7031140897086576E-3</v>
      </c>
      <c r="AR41">
        <v>0.20318853198948886</v>
      </c>
      <c r="AS41">
        <v>2.8898470870842821E-3</v>
      </c>
      <c r="AT41">
        <v>0.17108584745721206</v>
      </c>
      <c r="AU41">
        <v>1.1008160993171152E-2</v>
      </c>
      <c r="AV41">
        <v>6.878187387785234E-2</v>
      </c>
      <c r="AW41">
        <v>2.2348293368867133E-2</v>
      </c>
      <c r="AX41">
        <v>5.8551429536434142E-2</v>
      </c>
      <c r="AY41">
        <v>8.529428679271481E-4</v>
      </c>
      <c r="AZ41">
        <v>0.4607489661912037</v>
      </c>
      <c r="BA41">
        <v>2.9341307039348747E-2</v>
      </c>
      <c r="BB41">
        <v>9.3779056575173381E-2</v>
      </c>
      <c r="BC41">
        <v>6.6155815402800097E-3</v>
      </c>
      <c r="BD41">
        <v>0.15074584776707531</v>
      </c>
      <c r="BE41">
        <v>2.0686621952964428E-2</v>
      </c>
      <c r="BF41">
        <v>0.17901435118270834</v>
      </c>
      <c r="BG41">
        <v>7.1786196658158684E-3</v>
      </c>
      <c r="BH41">
        <v>2.2772012112760656E-3</v>
      </c>
      <c r="BI41">
        <v>2.5609763925276453E-2</v>
      </c>
      <c r="BJ41">
        <v>4.9175759600397342E-2</v>
      </c>
      <c r="BK41">
        <v>2.0258125752540861E-2</v>
      </c>
      <c r="BL41">
        <v>-5.0802031477084487E-2</v>
      </c>
      <c r="BM41">
        <v>1.8728977940477183E-2</v>
      </c>
      <c r="BN41">
        <v>9.7840336831817712E-2</v>
      </c>
      <c r="BO41" s="33">
        <f t="shared" si="4"/>
        <v>1.6435498489977458E-2</v>
      </c>
      <c r="BP41" s="33">
        <f t="shared" si="5"/>
        <v>1.2639050082267313E-2</v>
      </c>
      <c r="BQ41" s="33">
        <f t="shared" si="6"/>
        <v>0.12314370245814545</v>
      </c>
      <c r="BR41" s="33">
        <f t="shared" si="7"/>
        <v>0.12287437226867925</v>
      </c>
    </row>
    <row r="42" spans="1:70" x14ac:dyDescent="0.4">
      <c r="A42">
        <v>38</v>
      </c>
      <c r="B42">
        <v>3.8961100360927502E-2</v>
      </c>
      <c r="D42">
        <v>8.7268379313429935E-3</v>
      </c>
      <c r="E42">
        <v>-1.9294833354971026E-3</v>
      </c>
      <c r="F42">
        <v>1.2021071613829398E-2</v>
      </c>
      <c r="G42">
        <v>-1.2905447375611537E-2</v>
      </c>
      <c r="H42">
        <v>1.8029304989292286E-2</v>
      </c>
      <c r="I42">
        <v>2.7752722381294469E-2</v>
      </c>
      <c r="J42">
        <v>1.3388050030478504E-2</v>
      </c>
      <c r="K42">
        <v>2.6493730012209542E-2</v>
      </c>
      <c r="L42">
        <v>6.901999426856425E-3</v>
      </c>
      <c r="M42">
        <v>0.11937807100698392</v>
      </c>
      <c r="N42">
        <v>1.9812138712630604E-2</v>
      </c>
      <c r="O42">
        <v>-1.9805477937559057E-2</v>
      </c>
      <c r="P42">
        <v>4.7468001581951594E-2</v>
      </c>
      <c r="Q42">
        <v>4.0086049040892996E-2</v>
      </c>
      <c r="R42">
        <v>6.0502310125363562E-3</v>
      </c>
      <c r="S42">
        <v>0.13970044887858327</v>
      </c>
      <c r="T42">
        <v>2.0186852498838323E-2</v>
      </c>
      <c r="U42">
        <v>8.8645779847190312E-2</v>
      </c>
      <c r="V42">
        <v>1.7164859156692032E-2</v>
      </c>
      <c r="W42">
        <v>4.6812403533414856E-2</v>
      </c>
      <c r="X42">
        <v>0.14570812313551948</v>
      </c>
      <c r="Z42">
        <v>1.5366409700415045E-2</v>
      </c>
      <c r="AA42">
        <v>-0.12767846174845351</v>
      </c>
      <c r="AB42">
        <v>2.1844944087189382E-2</v>
      </c>
      <c r="AC42">
        <v>0.13921626035749238</v>
      </c>
      <c r="AD42">
        <v>2.5567817899983372E-2</v>
      </c>
      <c r="AE42">
        <v>4.06101342752666E-2</v>
      </c>
      <c r="AF42" s="33">
        <f t="shared" si="0"/>
        <v>2.7813182809232222E-2</v>
      </c>
      <c r="AG42" s="33">
        <f t="shared" si="2"/>
        <v>3.450604994096667E-2</v>
      </c>
      <c r="AH42" s="33">
        <f t="shared" si="1"/>
        <v>3.8952056072015934E-2</v>
      </c>
      <c r="AI42" s="33">
        <f t="shared" si="3"/>
        <v>7.3635415372035329E-2</v>
      </c>
      <c r="AJ42" s="38">
        <v>15</v>
      </c>
      <c r="AK42">
        <v>4.6988875518820888E-2</v>
      </c>
      <c r="AL42">
        <v>0.10952384573522866</v>
      </c>
      <c r="AM42">
        <v>1.7762693408535181E-2</v>
      </c>
      <c r="AN42">
        <v>8.9005579958133223E-3</v>
      </c>
      <c r="AO42">
        <v>7.9265411992622634E-3</v>
      </c>
      <c r="AP42">
        <v>0.28362857251987061</v>
      </c>
      <c r="AQ42">
        <v>4.0062305924493703E-3</v>
      </c>
      <c r="AR42">
        <v>0.13295394636016664</v>
      </c>
      <c r="AS42">
        <v>2.6378010700683473E-3</v>
      </c>
      <c r="AT42">
        <v>0.14384866444693167</v>
      </c>
      <c r="AU42">
        <v>1.0427509138258803E-2</v>
      </c>
      <c r="AV42">
        <v>-0.16525725594163029</v>
      </c>
      <c r="AW42">
        <v>2.012244425223704E-2</v>
      </c>
      <c r="AX42">
        <v>0.10027355158504346</v>
      </c>
      <c r="AY42">
        <v>4.0019432788043277E-3</v>
      </c>
      <c r="AZ42">
        <v>0.41712936135057527</v>
      </c>
      <c r="BA42">
        <v>2.7121594186962892E-2</v>
      </c>
      <c r="BB42">
        <v>0.10112132451316669</v>
      </c>
      <c r="BC42">
        <v>5.7142131066840801E-3</v>
      </c>
      <c r="BD42">
        <v>0.16767790711683667</v>
      </c>
      <c r="BE42">
        <v>1.9798603174510782E-2</v>
      </c>
      <c r="BF42">
        <v>0.18202953720061668</v>
      </c>
      <c r="BG42">
        <v>6.6948805953451788E-3</v>
      </c>
      <c r="BH42">
        <v>2.6493730012209522E-2</v>
      </c>
      <c r="BI42">
        <v>2.5655822038577029E-2</v>
      </c>
      <c r="BJ42">
        <v>4.5469997205789349E-2</v>
      </c>
      <c r="BK42">
        <v>1.9938098044295836E-2</v>
      </c>
      <c r="BL42">
        <v>-4.6765536274095597E-2</v>
      </c>
      <c r="BM42">
        <v>1.8115696816807539E-2</v>
      </c>
      <c r="BN42">
        <v>6.0024811775524919E-2</v>
      </c>
      <c r="BO42" s="33">
        <f t="shared" si="4"/>
        <v>1.5794196428107969E-2</v>
      </c>
      <c r="BP42" s="33">
        <f t="shared" si="5"/>
        <v>1.1910631284182634E-2</v>
      </c>
      <c r="BQ42" s="33">
        <f t="shared" si="6"/>
        <v>0.10447020104013648</v>
      </c>
      <c r="BR42" s="33">
        <f t="shared" si="7"/>
        <v>0.13590331208497114</v>
      </c>
    </row>
    <row r="43" spans="1:70" x14ac:dyDescent="0.4">
      <c r="A43">
        <v>39</v>
      </c>
      <c r="B43">
        <v>3.769351359246411E-2</v>
      </c>
      <c r="D43">
        <v>5.2661848920742462E-3</v>
      </c>
      <c r="E43">
        <v>-1.3087733293174673E-2</v>
      </c>
      <c r="F43">
        <v>1.1258066774692519E-2</v>
      </c>
      <c r="G43">
        <v>-1.8419396902300531E-2</v>
      </c>
      <c r="H43">
        <v>1.6917158979793474E-2</v>
      </c>
      <c r="I43">
        <v>2.6467989170688128E-2</v>
      </c>
      <c r="J43">
        <v>1.204214568599154E-2</v>
      </c>
      <c r="K43">
        <v>-3.4173251247563249E-2</v>
      </c>
      <c r="L43">
        <v>5.3566777359780725E-3</v>
      </c>
      <c r="M43">
        <v>0.12149241848034051</v>
      </c>
      <c r="N43">
        <v>1.9870226608373179E-2</v>
      </c>
      <c r="O43">
        <v>-2.7994949568339568E-2</v>
      </c>
      <c r="P43">
        <v>4.5584916657454976E-2</v>
      </c>
      <c r="Q43">
        <v>4.0295001954088853E-2</v>
      </c>
      <c r="R43">
        <v>5.9809982370730881E-3</v>
      </c>
      <c r="S43">
        <v>0.19069515777625745</v>
      </c>
      <c r="T43">
        <v>1.9635448455345712E-2</v>
      </c>
      <c r="U43">
        <v>0.12463903725665851</v>
      </c>
      <c r="V43">
        <v>1.6297379291829641E-2</v>
      </c>
      <c r="W43">
        <v>7.2332683724810332E-2</v>
      </c>
      <c r="X43">
        <v>0.14319861669429507</v>
      </c>
      <c r="Z43">
        <v>1.5122985379259246E-2</v>
      </c>
      <c r="AA43">
        <v>-0.10755406995248701</v>
      </c>
      <c r="AB43">
        <v>1.9741275648378496E-2</v>
      </c>
      <c r="AC43">
        <v>0.175203825437168</v>
      </c>
      <c r="AD43">
        <v>2.4570013613257072E-2</v>
      </c>
      <c r="AE43">
        <v>6.3615577390569902E-2</v>
      </c>
      <c r="AF43" s="33">
        <f t="shared" si="0"/>
        <v>2.6569040549750698E-2</v>
      </c>
      <c r="AG43" s="33">
        <f t="shared" si="2"/>
        <v>3.4157363629637914E-2</v>
      </c>
      <c r="AH43" s="33">
        <f t="shared" si="1"/>
        <v>4.7193253094362814E-2</v>
      </c>
      <c r="AI43" s="33">
        <f t="shared" si="3"/>
        <v>8.8522996014086891E-2</v>
      </c>
      <c r="AJ43" s="38">
        <v>15</v>
      </c>
      <c r="AK43">
        <v>4.523106141377109E-2</v>
      </c>
      <c r="AL43">
        <v>9.6788196803931123E-2</v>
      </c>
      <c r="AM43">
        <v>1.7373031248342208E-2</v>
      </c>
      <c r="AN43">
        <v>-6.3918270062833418E-4</v>
      </c>
      <c r="AO43">
        <v>7.1175546046542328E-3</v>
      </c>
      <c r="AP43">
        <v>0.22821392304995461</v>
      </c>
      <c r="AQ43">
        <v>3.5484126069649769E-3</v>
      </c>
      <c r="AR43">
        <v>0.17488215388517775</v>
      </c>
      <c r="AS43">
        <v>2.35919022446916E-3</v>
      </c>
      <c r="AT43">
        <v>0.15595757509759064</v>
      </c>
      <c r="AU43">
        <v>9.9246144309287875E-3</v>
      </c>
      <c r="AV43">
        <v>-0.1990555436347333</v>
      </c>
      <c r="AW43">
        <v>1.7288405939604713E-2</v>
      </c>
      <c r="AX43">
        <v>0.11466607526603034</v>
      </c>
      <c r="AY43">
        <v>5.0518081541441086E-3</v>
      </c>
      <c r="AZ43">
        <v>0.41147384333447623</v>
      </c>
      <c r="BA43">
        <v>2.5907416795379775E-2</v>
      </c>
      <c r="BB43">
        <v>0.10648311017715777</v>
      </c>
      <c r="BC43">
        <v>5.06932997426854E-3</v>
      </c>
      <c r="BD43">
        <v>0.15208098615026197</v>
      </c>
      <c r="BE43">
        <v>1.8874978700229205E-2</v>
      </c>
      <c r="BF43">
        <v>0.16681016134790669</v>
      </c>
      <c r="BG43">
        <v>6.1090093063846844E-3</v>
      </c>
      <c r="BH43">
        <v>-3.6614197765246333E-2</v>
      </c>
      <c r="BI43">
        <v>2.4786867642996858E-2</v>
      </c>
      <c r="BJ43">
        <v>7.4636469721989368E-2</v>
      </c>
      <c r="BK43">
        <v>1.9877309918137222E-2</v>
      </c>
      <c r="BL43">
        <v>-6.5211380906384453E-2</v>
      </c>
      <c r="BM43">
        <v>1.7541608499249593E-2</v>
      </c>
      <c r="BN43">
        <v>6.109563000211355E-2</v>
      </c>
      <c r="BO43" s="33">
        <f t="shared" si="4"/>
        <v>1.5070706630635011E-2</v>
      </c>
      <c r="BP43" s="33">
        <f t="shared" si="5"/>
        <v>1.1464803033444815E-2</v>
      </c>
      <c r="BQ43" s="33">
        <f t="shared" si="6"/>
        <v>9.6104521321973169E-2</v>
      </c>
      <c r="BR43" s="33">
        <f t="shared" si="7"/>
        <v>0.1406837281970614</v>
      </c>
    </row>
    <row r="44" spans="1:70" x14ac:dyDescent="0.4">
      <c r="A44">
        <v>40</v>
      </c>
      <c r="B44">
        <v>3.6395871829703309E-2</v>
      </c>
      <c r="D44">
        <v>3.7460067895488439E-3</v>
      </c>
      <c r="E44">
        <v>2.9901156511617996E-2</v>
      </c>
      <c r="F44">
        <v>1.0603457135033058E-2</v>
      </c>
      <c r="G44">
        <v>-2.0410162594978895E-2</v>
      </c>
      <c r="H44">
        <v>1.6327478378035481E-2</v>
      </c>
      <c r="I44">
        <v>3.4048900358542487E-2</v>
      </c>
      <c r="J44">
        <v>1.0915560386301183E-2</v>
      </c>
      <c r="K44">
        <v>0</v>
      </c>
      <c r="L44">
        <v>4.5162178829825615E-3</v>
      </c>
      <c r="M44">
        <v>0.16211439640252179</v>
      </c>
      <c r="N44">
        <v>2.001051804383867E-2</v>
      </c>
      <c r="O44">
        <v>-2.5931015720226897E-2</v>
      </c>
      <c r="P44">
        <v>4.3266474876524054E-2</v>
      </c>
      <c r="Q44">
        <v>0.10018943521657894</v>
      </c>
      <c r="R44">
        <v>4.7595722679178538E-3</v>
      </c>
      <c r="S44">
        <v>0.15864006244930343</v>
      </c>
      <c r="T44">
        <v>1.9159812949609202E-2</v>
      </c>
      <c r="U44">
        <v>0.12910029059431571</v>
      </c>
      <c r="V44">
        <v>1.5061614850954481E-2</v>
      </c>
      <c r="W44">
        <v>6.9462839393718029E-2</v>
      </c>
      <c r="X44">
        <v>0.14231713254262959</v>
      </c>
      <c r="Z44">
        <v>1.5161474993372059E-2</v>
      </c>
      <c r="AA44">
        <v>-9.8440840847438149E-2</v>
      </c>
      <c r="AB44">
        <v>1.9085987640238777E-2</v>
      </c>
      <c r="AC44">
        <v>8.2767759957061135E-2</v>
      </c>
      <c r="AD44">
        <v>2.3462133069280598E-2</v>
      </c>
      <c r="AE44">
        <v>5.3194560303438367E-2</v>
      </c>
      <c r="AF44" s="33">
        <f t="shared" si="0"/>
        <v>2.5652620909064647E-2</v>
      </c>
      <c r="AG44" s="33">
        <f t="shared" si="2"/>
        <v>3.4094615443054539E-2</v>
      </c>
      <c r="AH44" s="33">
        <f t="shared" si="1"/>
        <v>5.1895183232650299E-2</v>
      </c>
      <c r="AI44" s="33">
        <f t="shared" si="3"/>
        <v>7.6637877910252089E-2</v>
      </c>
      <c r="AJ44" s="38">
        <v>15</v>
      </c>
      <c r="AK44">
        <v>4.2894996110953862E-2</v>
      </c>
      <c r="AL44">
        <v>8.718503070295118E-2</v>
      </c>
      <c r="AM44">
        <v>1.6958142835564117E-2</v>
      </c>
      <c r="AN44">
        <v>-1.8477863818511149E-3</v>
      </c>
      <c r="AO44">
        <v>6.3491367936357535E-3</v>
      </c>
      <c r="AP44">
        <v>0.26411224793991073</v>
      </c>
      <c r="AQ44">
        <v>3.1591263697507877E-3</v>
      </c>
      <c r="AR44">
        <v>0.20340589758144273</v>
      </c>
      <c r="AS44">
        <v>2.1322683980551484E-3</v>
      </c>
      <c r="AT44">
        <v>0.14964715502338533</v>
      </c>
      <c r="AU44">
        <v>9.4545180658430188E-3</v>
      </c>
      <c r="AV44">
        <v>1.9332891581149012E-2</v>
      </c>
      <c r="AW44">
        <v>1.5366953660009546E-2</v>
      </c>
      <c r="AX44">
        <v>8.0221048857462479E-2</v>
      </c>
      <c r="AY44">
        <v>-9.0151585815933508E-2</v>
      </c>
      <c r="AZ44">
        <v>0.4081647865369914</v>
      </c>
      <c r="BA44">
        <v>2.5111032045258712E-2</v>
      </c>
      <c r="BB44">
        <v>0.10508227978668445</v>
      </c>
      <c r="BC44">
        <v>4.1378189735273999E-3</v>
      </c>
      <c r="BD44">
        <v>0.14941070106087195</v>
      </c>
      <c r="BE44">
        <v>1.770734751111698E-2</v>
      </c>
      <c r="BF44">
        <v>0.15848256789425419</v>
      </c>
      <c r="BG44">
        <v>5.2457312560985243E-3</v>
      </c>
      <c r="BI44">
        <v>2.4248683316301312E-2</v>
      </c>
      <c r="BJ44">
        <v>6.2429284005609362E-2</v>
      </c>
      <c r="BK44">
        <v>1.9793176795125399E-2</v>
      </c>
      <c r="BL44">
        <v>-6.3204863925660604E-2</v>
      </c>
      <c r="BM44">
        <v>1.6920926009649607E-2</v>
      </c>
      <c r="BN44">
        <v>4.6765509028961684E-2</v>
      </c>
      <c r="BO44" s="33">
        <f t="shared" si="4"/>
        <v>7.9552181549971106E-3</v>
      </c>
      <c r="BP44" s="33">
        <f t="shared" si="5"/>
        <v>2.9204689208723125E-2</v>
      </c>
      <c r="BQ44" s="33">
        <f t="shared" si="6"/>
        <v>0.11922762497801161</v>
      </c>
      <c r="BR44" s="33">
        <f t="shared" si="7"/>
        <v>0.11899725359485838</v>
      </c>
    </row>
  </sheetData>
  <mergeCells count="38">
    <mergeCell ref="B1:AE1"/>
    <mergeCell ref="AL1:BR1"/>
    <mergeCell ref="BO3:BP3"/>
    <mergeCell ref="BQ3:BR3"/>
    <mergeCell ref="BO2:BR2"/>
    <mergeCell ref="AF2:AI2"/>
    <mergeCell ref="BM3:BN3"/>
    <mergeCell ref="BA3:BB3"/>
    <mergeCell ref="BC3:BD3"/>
    <mergeCell ref="BE3:BF3"/>
    <mergeCell ref="BG3:BH3"/>
    <mergeCell ref="BI3:BJ3"/>
    <mergeCell ref="BK3:BL3"/>
    <mergeCell ref="AY3:AZ3"/>
    <mergeCell ref="AM3:AN3"/>
    <mergeCell ref="AQ3:AR3"/>
    <mergeCell ref="AS3:AT3"/>
    <mergeCell ref="AU3:AV3"/>
    <mergeCell ref="AW3:AX3"/>
    <mergeCell ref="AO3:AP3"/>
    <mergeCell ref="AF3:AG3"/>
    <mergeCell ref="AH3:AI3"/>
    <mergeCell ref="AK3:AL3"/>
    <mergeCell ref="V3:W3"/>
    <mergeCell ref="X3:Y3"/>
    <mergeCell ref="Z3:AA3"/>
    <mergeCell ref="AB3:AC3"/>
    <mergeCell ref="AD3:AE3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</mergeCells>
  <phoneticPr fontId="2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8A1D-1779-484E-8117-C620D7BD31B5}">
  <dimension ref="A1:L32"/>
  <sheetViews>
    <sheetView zoomScale="90" zoomScaleNormal="90" workbookViewId="0">
      <selection activeCell="G25" sqref="G25"/>
    </sheetView>
  </sheetViews>
  <sheetFormatPr defaultColWidth="8.77734375" defaultRowHeight="19.5" x14ac:dyDescent="0.4"/>
  <cols>
    <col min="3" max="3" width="13.77734375" customWidth="1"/>
    <col min="4" max="4" width="15.21875" customWidth="1"/>
    <col min="7" max="7" width="19" customWidth="1"/>
  </cols>
  <sheetData>
    <row r="1" spans="1:12" ht="44.25" customHeight="1" x14ac:dyDescent="0.4">
      <c r="A1" s="28"/>
      <c r="B1" s="28"/>
      <c r="C1" s="65" t="s">
        <v>96</v>
      </c>
      <c r="D1" s="29" t="s">
        <v>116</v>
      </c>
      <c r="E1" s="62" t="s">
        <v>109</v>
      </c>
      <c r="F1" s="63"/>
      <c r="G1" s="67" t="s">
        <v>115</v>
      </c>
      <c r="K1" s="64"/>
      <c r="L1" s="64"/>
    </row>
    <row r="2" spans="1:12" ht="34.5" customHeight="1" x14ac:dyDescent="0.4">
      <c r="A2" s="28"/>
      <c r="B2" s="28"/>
      <c r="C2" s="65"/>
      <c r="D2" s="29" t="s">
        <v>97</v>
      </c>
      <c r="E2" s="28" t="s">
        <v>64</v>
      </c>
      <c r="F2" s="28" t="s">
        <v>65</v>
      </c>
      <c r="G2" s="67"/>
    </row>
    <row r="3" spans="1:12" x14ac:dyDescent="0.2">
      <c r="A3" s="66" t="s">
        <v>103</v>
      </c>
      <c r="B3" s="28" t="s">
        <v>66</v>
      </c>
      <c r="C3" s="31" t="s">
        <v>98</v>
      </c>
      <c r="D3" s="30" t="s">
        <v>99</v>
      </c>
      <c r="E3" s="28"/>
      <c r="F3" s="32">
        <v>0.54120000000000001</v>
      </c>
      <c r="G3" s="31">
        <v>5.3170000000000002</v>
      </c>
    </row>
    <row r="4" spans="1:12" x14ac:dyDescent="0.2">
      <c r="A4" s="66"/>
      <c r="B4" s="28" t="s">
        <v>70</v>
      </c>
      <c r="C4" s="31" t="s">
        <v>98</v>
      </c>
      <c r="D4" s="28" t="s">
        <v>100</v>
      </c>
      <c r="E4" s="28"/>
      <c r="F4" s="31">
        <v>0.2041</v>
      </c>
      <c r="G4" s="31">
        <v>8.859</v>
      </c>
    </row>
    <row r="5" spans="1:12" x14ac:dyDescent="0.2">
      <c r="A5" s="66"/>
      <c r="B5" s="28" t="s">
        <v>67</v>
      </c>
      <c r="C5" s="31" t="s">
        <v>98</v>
      </c>
      <c r="D5" s="28" t="s">
        <v>100</v>
      </c>
      <c r="E5" s="28"/>
      <c r="F5" s="31">
        <v>0.38109999999999999</v>
      </c>
      <c r="G5" s="31">
        <v>3.4449999999999998</v>
      </c>
    </row>
    <row r="6" spans="1:12" x14ac:dyDescent="0.2">
      <c r="A6" s="66"/>
      <c r="B6" s="28" t="s">
        <v>68</v>
      </c>
      <c r="C6" s="31" t="s">
        <v>98</v>
      </c>
      <c r="D6" s="28" t="s">
        <v>100</v>
      </c>
      <c r="E6" s="28"/>
      <c r="F6" s="31">
        <v>0.28320000000000001</v>
      </c>
      <c r="G6" s="31">
        <v>3.327</v>
      </c>
    </row>
    <row r="7" spans="1:12" x14ac:dyDescent="0.2">
      <c r="A7" s="66"/>
      <c r="B7" s="28" t="s">
        <v>69</v>
      </c>
      <c r="C7" s="31" t="s">
        <v>98</v>
      </c>
      <c r="D7" s="30" t="s">
        <v>99</v>
      </c>
      <c r="E7" s="28"/>
      <c r="F7" s="32">
        <v>0.30840000000000001</v>
      </c>
      <c r="G7" s="31">
        <v>5.8819999999999997</v>
      </c>
    </row>
    <row r="8" spans="1:12" x14ac:dyDescent="0.2">
      <c r="A8" s="66"/>
      <c r="B8" s="28" t="s">
        <v>71</v>
      </c>
      <c r="C8" s="31" t="s">
        <v>98</v>
      </c>
      <c r="D8" s="30" t="s">
        <v>99</v>
      </c>
      <c r="E8" s="28"/>
      <c r="F8" s="32">
        <v>0.70909999999999995</v>
      </c>
      <c r="G8" s="31">
        <v>1.913</v>
      </c>
    </row>
    <row r="9" spans="1:12" x14ac:dyDescent="0.2">
      <c r="A9" s="66"/>
      <c r="B9" s="28" t="s">
        <v>72</v>
      </c>
      <c r="C9" s="37" t="s">
        <v>101</v>
      </c>
      <c r="D9" s="28" t="s">
        <v>102</v>
      </c>
      <c r="E9" s="28"/>
      <c r="F9" s="28" t="s">
        <v>102</v>
      </c>
      <c r="G9" s="31">
        <v>4.5640000000000001</v>
      </c>
    </row>
    <row r="10" spans="1:12" x14ac:dyDescent="0.2">
      <c r="A10" s="66"/>
      <c r="B10" s="28" t="s">
        <v>73</v>
      </c>
      <c r="C10" s="31" t="s">
        <v>98</v>
      </c>
      <c r="D10" s="28" t="s">
        <v>100</v>
      </c>
      <c r="E10" s="28"/>
      <c r="F10" s="31">
        <v>0.48420000000000002</v>
      </c>
      <c r="G10" s="31">
        <v>2.3490000000000002</v>
      </c>
    </row>
    <row r="11" spans="1:12" x14ac:dyDescent="0.2">
      <c r="A11" s="66"/>
      <c r="B11" s="28" t="s">
        <v>74</v>
      </c>
      <c r="C11" s="31" t="s">
        <v>98</v>
      </c>
      <c r="D11" s="28" t="s">
        <v>100</v>
      </c>
      <c r="E11" s="28"/>
      <c r="F11" s="31">
        <v>0.25219999999999998</v>
      </c>
      <c r="G11" s="31">
        <v>4.6550000000000002</v>
      </c>
    </row>
    <row r="12" spans="1:12" x14ac:dyDescent="0.2">
      <c r="A12" s="66"/>
      <c r="B12" s="28" t="s">
        <v>75</v>
      </c>
      <c r="C12" s="31" t="s">
        <v>98</v>
      </c>
      <c r="D12" s="28" t="s">
        <v>100</v>
      </c>
      <c r="E12" s="28"/>
      <c r="F12" s="31">
        <v>0.57579999999999998</v>
      </c>
      <c r="G12" s="31">
        <v>2.6269999999999998</v>
      </c>
    </row>
    <row r="13" spans="1:12" x14ac:dyDescent="0.2">
      <c r="A13" s="66"/>
      <c r="B13" s="28" t="s">
        <v>76</v>
      </c>
      <c r="C13" s="31" t="s">
        <v>98</v>
      </c>
      <c r="D13" s="28" t="s">
        <v>100</v>
      </c>
      <c r="E13" s="28"/>
      <c r="F13" s="31">
        <v>0.107</v>
      </c>
      <c r="G13" s="31">
        <v>4.2359999999999998</v>
      </c>
    </row>
    <row r="14" spans="1:12" x14ac:dyDescent="0.2">
      <c r="A14" s="66"/>
      <c r="B14" s="28" t="s">
        <v>77</v>
      </c>
      <c r="C14" s="31" t="s">
        <v>98</v>
      </c>
      <c r="D14" s="28" t="s">
        <v>100</v>
      </c>
      <c r="E14" s="28"/>
      <c r="F14" s="31">
        <v>0.27029999999999998</v>
      </c>
      <c r="G14" s="31">
        <v>5.3390000000000004</v>
      </c>
    </row>
    <row r="15" spans="1:12" x14ac:dyDescent="0.2">
      <c r="A15" s="66"/>
      <c r="B15" s="28" t="s">
        <v>78</v>
      </c>
      <c r="C15" s="31" t="s">
        <v>98</v>
      </c>
      <c r="D15" s="28" t="s">
        <v>100</v>
      </c>
      <c r="E15" s="28"/>
      <c r="F15" s="31">
        <v>7.8820000000000001E-2</v>
      </c>
      <c r="G15" s="31">
        <v>10.42</v>
      </c>
    </row>
    <row r="16" spans="1:12" x14ac:dyDescent="0.2">
      <c r="A16" s="66"/>
      <c r="B16" s="28" t="s">
        <v>79</v>
      </c>
      <c r="C16" s="31" t="s">
        <v>98</v>
      </c>
      <c r="D16" s="28" t="s">
        <v>100</v>
      </c>
      <c r="E16" s="28"/>
      <c r="F16" s="31">
        <v>0.11210000000000001</v>
      </c>
      <c r="G16" s="31">
        <v>3.4950000000000001</v>
      </c>
    </row>
    <row r="17" spans="1:7" x14ac:dyDescent="0.2">
      <c r="A17" s="66"/>
      <c r="B17" s="28" t="s">
        <v>80</v>
      </c>
      <c r="C17" s="31" t="s">
        <v>98</v>
      </c>
      <c r="D17" s="28" t="s">
        <v>100</v>
      </c>
      <c r="E17" s="28"/>
      <c r="F17" s="31">
        <v>0.20699999999999999</v>
      </c>
      <c r="G17" s="31">
        <v>8.5120000000000005</v>
      </c>
    </row>
    <row r="18" spans="1:7" x14ac:dyDescent="0.2">
      <c r="A18" s="66" t="s">
        <v>104</v>
      </c>
      <c r="B18" s="28" t="s">
        <v>81</v>
      </c>
      <c r="C18" s="31" t="s">
        <v>98</v>
      </c>
      <c r="D18" s="28" t="s">
        <v>100</v>
      </c>
      <c r="E18" s="31">
        <v>0.8075</v>
      </c>
      <c r="F18" s="28"/>
      <c r="G18" s="31">
        <v>2.5569999999999999</v>
      </c>
    </row>
    <row r="19" spans="1:7" x14ac:dyDescent="0.2">
      <c r="A19" s="66"/>
      <c r="B19" s="28" t="s">
        <v>82</v>
      </c>
      <c r="C19" s="31" t="s">
        <v>98</v>
      </c>
      <c r="D19" s="30" t="s">
        <v>99</v>
      </c>
      <c r="E19" s="32">
        <v>0.30669999999999997</v>
      </c>
      <c r="F19" s="28"/>
      <c r="G19" s="31">
        <v>3.125</v>
      </c>
    </row>
    <row r="20" spans="1:7" x14ac:dyDescent="0.2">
      <c r="A20" s="66"/>
      <c r="B20" s="28" t="s">
        <v>83</v>
      </c>
      <c r="C20" s="31" t="s">
        <v>98</v>
      </c>
      <c r="D20" s="28" t="s">
        <v>100</v>
      </c>
      <c r="E20" s="31">
        <v>0.43980000000000002</v>
      </c>
      <c r="F20" s="28"/>
      <c r="G20" s="31">
        <v>3.532</v>
      </c>
    </row>
    <row r="21" spans="1:7" x14ac:dyDescent="0.2">
      <c r="A21" s="66"/>
      <c r="B21" s="28" t="s">
        <v>84</v>
      </c>
      <c r="C21" s="31" t="s">
        <v>98</v>
      </c>
      <c r="D21" s="28" t="s">
        <v>100</v>
      </c>
      <c r="E21" s="31">
        <v>0.36899999999999999</v>
      </c>
      <c r="F21" s="28"/>
      <c r="G21" s="31">
        <v>4.1070000000000002</v>
      </c>
    </row>
    <row r="22" spans="1:7" x14ac:dyDescent="0.2">
      <c r="A22" s="66"/>
      <c r="B22" s="28" t="s">
        <v>85</v>
      </c>
      <c r="C22" s="37" t="s">
        <v>101</v>
      </c>
      <c r="D22" s="28" t="s">
        <v>102</v>
      </c>
      <c r="E22" s="28" t="s">
        <v>102</v>
      </c>
      <c r="F22" s="28"/>
      <c r="G22" s="31">
        <v>5.6150000000000002</v>
      </c>
    </row>
    <row r="23" spans="1:7" x14ac:dyDescent="0.2">
      <c r="A23" s="66"/>
      <c r="B23" s="28" t="s">
        <v>86</v>
      </c>
      <c r="C23" s="31" t="s">
        <v>98</v>
      </c>
      <c r="D23" s="30" t="s">
        <v>99</v>
      </c>
      <c r="E23" s="32">
        <v>0.4461</v>
      </c>
      <c r="F23" s="28"/>
      <c r="G23" s="31">
        <v>6.2030000000000003</v>
      </c>
    </row>
    <row r="24" spans="1:7" x14ac:dyDescent="0.2">
      <c r="A24" s="66"/>
      <c r="B24" s="28" t="s">
        <v>87</v>
      </c>
      <c r="C24" s="31" t="s">
        <v>98</v>
      </c>
      <c r="D24" s="30" t="s">
        <v>99</v>
      </c>
      <c r="E24" s="32">
        <v>0.70760000000000001</v>
      </c>
      <c r="F24" s="28"/>
      <c r="G24" s="31">
        <v>2.7679999999999998</v>
      </c>
    </row>
    <row r="25" spans="1:7" x14ac:dyDescent="0.2">
      <c r="A25" s="66"/>
      <c r="B25" s="28" t="s">
        <v>88</v>
      </c>
      <c r="C25" s="37" t="s">
        <v>101</v>
      </c>
      <c r="D25" s="28" t="s">
        <v>102</v>
      </c>
      <c r="E25" s="28" t="s">
        <v>102</v>
      </c>
      <c r="F25" s="28"/>
      <c r="G25" s="31">
        <v>4.2220000000000004</v>
      </c>
    </row>
    <row r="26" spans="1:7" x14ac:dyDescent="0.2">
      <c r="A26" s="66"/>
      <c r="B26" s="28" t="s">
        <v>89</v>
      </c>
      <c r="C26" s="31" t="s">
        <v>98</v>
      </c>
      <c r="D26" s="28" t="s">
        <v>100</v>
      </c>
      <c r="E26" s="31">
        <v>0.63970000000000005</v>
      </c>
      <c r="F26" s="28"/>
      <c r="G26" s="31">
        <v>2.81</v>
      </c>
    </row>
    <row r="27" spans="1:7" x14ac:dyDescent="0.2">
      <c r="A27" s="66"/>
      <c r="B27" s="28" t="s">
        <v>90</v>
      </c>
      <c r="C27" s="31" t="s">
        <v>98</v>
      </c>
      <c r="D27" s="28" t="s">
        <v>100</v>
      </c>
      <c r="E27" s="31">
        <v>0.43120000000000003</v>
      </c>
      <c r="F27" s="28"/>
      <c r="G27" s="31">
        <v>3.2429999999999999</v>
      </c>
    </row>
    <row r="28" spans="1:7" x14ac:dyDescent="0.2">
      <c r="A28" s="66"/>
      <c r="B28" s="28" t="s">
        <v>91</v>
      </c>
      <c r="C28" s="31" t="s">
        <v>105</v>
      </c>
      <c r="D28" s="28" t="s">
        <v>100</v>
      </c>
      <c r="E28" s="31">
        <v>0.38719999999999999</v>
      </c>
      <c r="F28" s="28"/>
      <c r="G28" s="31">
        <v>4.6440000000000001</v>
      </c>
    </row>
    <row r="29" spans="1:7" x14ac:dyDescent="0.2">
      <c r="A29" s="66"/>
      <c r="B29" s="28" t="s">
        <v>92</v>
      </c>
      <c r="C29" s="31" t="s">
        <v>105</v>
      </c>
      <c r="D29" s="30" t="s">
        <v>106</v>
      </c>
      <c r="E29" s="32">
        <v>0.36299999999999999</v>
      </c>
      <c r="F29" s="28"/>
      <c r="G29" s="31">
        <v>3.8149999999999999</v>
      </c>
    </row>
    <row r="30" spans="1:7" x14ac:dyDescent="0.2">
      <c r="A30" s="66"/>
      <c r="B30" s="28" t="s">
        <v>93</v>
      </c>
      <c r="C30" s="31" t="s">
        <v>98</v>
      </c>
      <c r="D30" s="28" t="s">
        <v>100</v>
      </c>
      <c r="E30" s="31">
        <v>0.46629999999999999</v>
      </c>
      <c r="F30" s="28"/>
      <c r="G30" s="31">
        <v>3.6779999999999999</v>
      </c>
    </row>
    <row r="31" spans="1:7" x14ac:dyDescent="0.2">
      <c r="A31" s="66"/>
      <c r="B31" s="28" t="s">
        <v>94</v>
      </c>
      <c r="C31" s="31" t="s">
        <v>98</v>
      </c>
      <c r="D31" s="28" t="s">
        <v>100</v>
      </c>
      <c r="E31" s="31">
        <v>0.54110000000000003</v>
      </c>
      <c r="F31" s="28"/>
      <c r="G31" s="31">
        <v>3.988</v>
      </c>
    </row>
    <row r="32" spans="1:7" x14ac:dyDescent="0.2">
      <c r="A32" s="66"/>
      <c r="B32" s="28" t="s">
        <v>95</v>
      </c>
      <c r="C32" s="31" t="s">
        <v>98</v>
      </c>
      <c r="D32" s="28" t="s">
        <v>100</v>
      </c>
      <c r="E32" s="31">
        <v>0.15279999999999999</v>
      </c>
      <c r="F32" s="28"/>
      <c r="G32" s="31">
        <v>3.698</v>
      </c>
    </row>
  </sheetData>
  <mergeCells count="6">
    <mergeCell ref="E1:F1"/>
    <mergeCell ref="K1:L1"/>
    <mergeCell ref="C1:C2"/>
    <mergeCell ref="A3:A17"/>
    <mergeCell ref="A18:A32"/>
    <mergeCell ref="G1:G2"/>
  </mergeCells>
  <phoneticPr fontId="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8195-33C7-425A-AD41-773BC163C1C1}">
  <dimension ref="A1:P18"/>
  <sheetViews>
    <sheetView workbookViewId="0">
      <selection activeCell="L27" sqref="L27"/>
    </sheetView>
  </sheetViews>
  <sheetFormatPr defaultRowHeight="19.5" x14ac:dyDescent="0.4"/>
  <sheetData>
    <row r="1" spans="1:16" x14ac:dyDescent="0.4">
      <c r="A1" s="39" t="s">
        <v>141</v>
      </c>
      <c r="B1" s="40" t="s">
        <v>142</v>
      </c>
      <c r="C1" s="41" t="s">
        <v>143</v>
      </c>
      <c r="D1" s="41" t="s">
        <v>144</v>
      </c>
      <c r="E1" s="41" t="s">
        <v>145</v>
      </c>
      <c r="F1" s="41" t="s">
        <v>146</v>
      </c>
      <c r="G1" s="41" t="s">
        <v>147</v>
      </c>
      <c r="J1" s="39" t="s">
        <v>141</v>
      </c>
      <c r="K1" s="40" t="s">
        <v>142</v>
      </c>
      <c r="L1" s="41" t="s">
        <v>143</v>
      </c>
      <c r="M1" s="41" t="s">
        <v>144</v>
      </c>
      <c r="N1" s="40" t="s">
        <v>145</v>
      </c>
      <c r="O1" s="41" t="s">
        <v>146</v>
      </c>
      <c r="P1" s="41" t="s">
        <v>147</v>
      </c>
    </row>
    <row r="2" spans="1:16" x14ac:dyDescent="0.4">
      <c r="A2" s="42" t="s">
        <v>148</v>
      </c>
      <c r="B2" s="43" t="s">
        <v>167</v>
      </c>
      <c r="C2" s="44" t="s">
        <v>149</v>
      </c>
      <c r="D2" s="45">
        <v>33</v>
      </c>
      <c r="E2" s="45">
        <v>157</v>
      </c>
      <c r="F2" s="45">
        <v>48.53</v>
      </c>
      <c r="G2" s="45">
        <v>1.0029999999999999</v>
      </c>
      <c r="J2" s="42" t="s">
        <v>148</v>
      </c>
      <c r="K2" s="43" t="s">
        <v>167</v>
      </c>
      <c r="L2" s="44" t="s">
        <v>150</v>
      </c>
      <c r="M2" s="46">
        <v>33</v>
      </c>
      <c r="N2" s="11">
        <v>157</v>
      </c>
      <c r="O2" s="45">
        <v>48.53</v>
      </c>
      <c r="P2" s="45">
        <v>1.012</v>
      </c>
    </row>
    <row r="3" spans="1:16" x14ac:dyDescent="0.4">
      <c r="A3" s="42" t="s">
        <v>151</v>
      </c>
      <c r="B3" s="47" t="s">
        <v>168</v>
      </c>
      <c r="C3" s="44" t="s">
        <v>149</v>
      </c>
      <c r="D3" s="45">
        <v>26</v>
      </c>
      <c r="E3" s="45">
        <v>189.2</v>
      </c>
      <c r="F3" s="45">
        <v>73.34</v>
      </c>
      <c r="G3" s="45">
        <v>1.03</v>
      </c>
      <c r="J3" s="42" t="s">
        <v>151</v>
      </c>
      <c r="K3" s="47" t="s">
        <v>168</v>
      </c>
      <c r="L3" s="44" t="s">
        <v>150</v>
      </c>
      <c r="M3" s="45">
        <v>26</v>
      </c>
      <c r="N3" s="45">
        <v>189.2</v>
      </c>
      <c r="O3" s="45">
        <v>73.42</v>
      </c>
      <c r="P3" s="45">
        <v>1.0149999999999999</v>
      </c>
    </row>
    <row r="4" spans="1:16" x14ac:dyDescent="0.4">
      <c r="A4" s="42" t="s">
        <v>152</v>
      </c>
      <c r="B4" s="48" t="s">
        <v>179</v>
      </c>
      <c r="C4" s="44" t="s">
        <v>149</v>
      </c>
      <c r="D4" s="45">
        <v>21</v>
      </c>
      <c r="E4" s="45">
        <v>170.3</v>
      </c>
      <c r="F4" s="45">
        <v>49.29</v>
      </c>
      <c r="G4" s="45">
        <v>1.0209999999999999</v>
      </c>
      <c r="J4" s="42" t="s">
        <v>152</v>
      </c>
      <c r="K4" s="48" t="s">
        <v>179</v>
      </c>
      <c r="L4" s="44" t="s">
        <v>150</v>
      </c>
      <c r="M4" s="45">
        <v>21</v>
      </c>
      <c r="N4" s="45">
        <v>170.3</v>
      </c>
      <c r="O4" s="45">
        <v>50.05</v>
      </c>
      <c r="P4" s="45">
        <v>1.01</v>
      </c>
    </row>
    <row r="5" spans="1:16" x14ac:dyDescent="0.4">
      <c r="A5" s="42" t="s">
        <v>153</v>
      </c>
      <c r="B5" s="48" t="s">
        <v>169</v>
      </c>
      <c r="C5" s="44" t="s">
        <v>149</v>
      </c>
      <c r="D5" s="45">
        <v>18</v>
      </c>
      <c r="E5" s="45">
        <v>178.3</v>
      </c>
      <c r="F5" s="45">
        <v>68.150000000000006</v>
      </c>
      <c r="G5" s="45">
        <v>1.02</v>
      </c>
      <c r="J5" s="42" t="s">
        <v>153</v>
      </c>
      <c r="K5" s="48" t="s">
        <v>169</v>
      </c>
      <c r="L5" s="44" t="s">
        <v>150</v>
      </c>
      <c r="M5" s="45">
        <v>18</v>
      </c>
      <c r="N5" s="45">
        <v>178.3</v>
      </c>
      <c r="O5" s="45">
        <v>68</v>
      </c>
      <c r="P5" s="45">
        <v>1.0149999999999999</v>
      </c>
    </row>
    <row r="6" spans="1:16" x14ac:dyDescent="0.4">
      <c r="A6" s="42" t="s">
        <v>154</v>
      </c>
      <c r="B6" s="47" t="s">
        <v>180</v>
      </c>
      <c r="C6" s="44" t="s">
        <v>149</v>
      </c>
      <c r="D6" s="45">
        <v>24</v>
      </c>
      <c r="E6" s="45">
        <v>166.4</v>
      </c>
      <c r="F6" s="45">
        <v>52.24</v>
      </c>
      <c r="G6" s="45">
        <v>1.02</v>
      </c>
      <c r="J6" s="42" t="s">
        <v>154</v>
      </c>
      <c r="K6" s="47" t="s">
        <v>180</v>
      </c>
      <c r="L6" s="44" t="s">
        <v>150</v>
      </c>
      <c r="M6" s="45">
        <v>24</v>
      </c>
      <c r="N6" s="45">
        <v>166.4</v>
      </c>
      <c r="O6" s="45">
        <v>52.19</v>
      </c>
      <c r="P6" s="45">
        <v>1.016</v>
      </c>
    </row>
    <row r="7" spans="1:16" x14ac:dyDescent="0.4">
      <c r="A7" s="42" t="s">
        <v>155</v>
      </c>
      <c r="B7" s="53" t="s">
        <v>170</v>
      </c>
      <c r="C7" s="44" t="s">
        <v>149</v>
      </c>
      <c r="D7" s="45">
        <v>21</v>
      </c>
      <c r="E7" s="45">
        <v>175.4</v>
      </c>
      <c r="F7" s="45">
        <v>62.78</v>
      </c>
      <c r="G7" s="45">
        <v>1.0269999999999999</v>
      </c>
      <c r="J7" s="42" t="s">
        <v>155</v>
      </c>
      <c r="K7" s="53" t="s">
        <v>170</v>
      </c>
      <c r="L7" s="44" t="s">
        <v>150</v>
      </c>
      <c r="M7" s="45">
        <v>21</v>
      </c>
      <c r="N7" s="45">
        <v>175.4</v>
      </c>
      <c r="O7" s="45">
        <v>63.24</v>
      </c>
      <c r="P7" s="45">
        <v>1.0229999999999999</v>
      </c>
    </row>
    <row r="8" spans="1:16" x14ac:dyDescent="0.4">
      <c r="A8" s="42" t="s">
        <v>156</v>
      </c>
      <c r="B8" s="53" t="s">
        <v>171</v>
      </c>
      <c r="C8" s="44" t="s">
        <v>149</v>
      </c>
      <c r="D8" s="45">
        <v>20</v>
      </c>
      <c r="E8" s="45">
        <v>160.4</v>
      </c>
      <c r="F8" s="45">
        <v>59</v>
      </c>
      <c r="G8" s="45">
        <v>1.0309999999999999</v>
      </c>
      <c r="J8" s="42" t="s">
        <v>156</v>
      </c>
      <c r="K8" s="53" t="s">
        <v>171</v>
      </c>
      <c r="L8" s="44" t="s">
        <v>150</v>
      </c>
      <c r="M8" s="45">
        <v>20</v>
      </c>
      <c r="N8" s="45">
        <v>160.4</v>
      </c>
      <c r="O8" s="45">
        <v>60.53</v>
      </c>
      <c r="P8" s="45">
        <v>1.0229999999999999</v>
      </c>
    </row>
    <row r="9" spans="1:16" x14ac:dyDescent="0.4">
      <c r="A9" s="42" t="s">
        <v>157</v>
      </c>
      <c r="B9" s="47" t="s">
        <v>172</v>
      </c>
      <c r="C9" s="44" t="s">
        <v>149</v>
      </c>
      <c r="D9" s="45">
        <v>30</v>
      </c>
      <c r="E9" s="45">
        <v>169</v>
      </c>
      <c r="F9" s="45">
        <v>63.92</v>
      </c>
      <c r="G9" s="45">
        <v>1.0269999999999999</v>
      </c>
      <c r="J9" s="42" t="s">
        <v>157</v>
      </c>
      <c r="K9" s="47" t="s">
        <v>172</v>
      </c>
      <c r="L9" s="44" t="s">
        <v>150</v>
      </c>
      <c r="M9" s="45">
        <v>30</v>
      </c>
      <c r="N9" s="45">
        <v>169</v>
      </c>
      <c r="O9" s="45">
        <v>64.260000000000005</v>
      </c>
      <c r="P9" s="45">
        <v>1.022</v>
      </c>
    </row>
    <row r="10" spans="1:16" x14ac:dyDescent="0.4">
      <c r="A10" s="42" t="s">
        <v>158</v>
      </c>
      <c r="B10" s="47" t="s">
        <v>173</v>
      </c>
      <c r="C10" s="44" t="s">
        <v>149</v>
      </c>
      <c r="D10" s="45">
        <v>23</v>
      </c>
      <c r="E10" s="45">
        <v>154.5</v>
      </c>
      <c r="F10" s="45">
        <v>51.34</v>
      </c>
      <c r="G10" s="45">
        <v>1.0129999999999999</v>
      </c>
      <c r="J10" s="42" t="s">
        <v>158</v>
      </c>
      <c r="K10" s="47" t="s">
        <v>173</v>
      </c>
      <c r="L10" s="44" t="s">
        <v>150</v>
      </c>
      <c r="M10" s="45">
        <v>23</v>
      </c>
      <c r="N10" s="45">
        <v>154.5</v>
      </c>
      <c r="O10" s="45">
        <v>51.86</v>
      </c>
      <c r="P10" s="45">
        <v>1.0249999999999999</v>
      </c>
    </row>
    <row r="11" spans="1:16" x14ac:dyDescent="0.4">
      <c r="A11" s="42" t="s">
        <v>159</v>
      </c>
      <c r="B11" s="53" t="s">
        <v>181</v>
      </c>
      <c r="C11" s="44" t="s">
        <v>149</v>
      </c>
      <c r="D11" s="45">
        <v>21</v>
      </c>
      <c r="E11" s="45">
        <v>155.80000000000001</v>
      </c>
      <c r="F11" s="45">
        <v>50.93</v>
      </c>
      <c r="G11" s="45">
        <v>1.022</v>
      </c>
      <c r="J11" s="42" t="s">
        <v>159</v>
      </c>
      <c r="K11" s="53" t="s">
        <v>181</v>
      </c>
      <c r="L11" s="44" t="s">
        <v>150</v>
      </c>
      <c r="M11" s="45">
        <v>21</v>
      </c>
      <c r="N11" s="45">
        <v>155.80000000000001</v>
      </c>
      <c r="O11" s="45">
        <v>51.53</v>
      </c>
      <c r="P11" s="45">
        <v>1.022</v>
      </c>
    </row>
    <row r="12" spans="1:16" x14ac:dyDescent="0.4">
      <c r="A12" s="42" t="s">
        <v>160</v>
      </c>
      <c r="B12" s="47" t="s">
        <v>174</v>
      </c>
      <c r="C12" s="44" t="s">
        <v>149</v>
      </c>
      <c r="D12" s="45">
        <v>29</v>
      </c>
      <c r="E12" s="45">
        <v>185.6</v>
      </c>
      <c r="F12" s="45">
        <v>90.5</v>
      </c>
      <c r="G12" s="45">
        <v>1.018</v>
      </c>
      <c r="J12" s="42" t="s">
        <v>160</v>
      </c>
      <c r="K12" s="47" t="s">
        <v>174</v>
      </c>
      <c r="L12" s="44" t="s">
        <v>150</v>
      </c>
      <c r="M12" s="45">
        <v>29</v>
      </c>
      <c r="N12" s="45">
        <v>185.6</v>
      </c>
      <c r="O12" s="45">
        <v>90.27</v>
      </c>
      <c r="P12" s="45">
        <v>1.016</v>
      </c>
    </row>
    <row r="13" spans="1:16" x14ac:dyDescent="0.4">
      <c r="A13" s="42" t="s">
        <v>161</v>
      </c>
      <c r="B13" s="48" t="s">
        <v>175</v>
      </c>
      <c r="C13" s="44" t="s">
        <v>149</v>
      </c>
      <c r="D13" s="45">
        <v>20</v>
      </c>
      <c r="E13" s="45">
        <v>175.5</v>
      </c>
      <c r="F13" s="45">
        <v>68.010000000000005</v>
      </c>
      <c r="G13" s="45">
        <v>1.02</v>
      </c>
      <c r="J13" s="42" t="s">
        <v>161</v>
      </c>
      <c r="K13" s="48" t="s">
        <v>175</v>
      </c>
      <c r="L13" s="44" t="s">
        <v>150</v>
      </c>
      <c r="M13" s="45">
        <v>20</v>
      </c>
      <c r="N13" s="45">
        <v>175.5</v>
      </c>
      <c r="O13" s="45">
        <v>67.55</v>
      </c>
      <c r="P13" s="45">
        <v>1.0029999999999999</v>
      </c>
    </row>
    <row r="14" spans="1:16" x14ac:dyDescent="0.4">
      <c r="A14" s="42" t="s">
        <v>162</v>
      </c>
      <c r="B14" s="47" t="s">
        <v>176</v>
      </c>
      <c r="C14" s="44" t="s">
        <v>149</v>
      </c>
      <c r="D14" s="45">
        <v>24</v>
      </c>
      <c r="E14" s="45">
        <v>165.5</v>
      </c>
      <c r="F14" s="45">
        <v>52</v>
      </c>
      <c r="G14" s="45">
        <v>1.02</v>
      </c>
      <c r="J14" s="42" t="s">
        <v>162</v>
      </c>
      <c r="K14" s="47" t="s">
        <v>176</v>
      </c>
      <c r="L14" s="44" t="s">
        <v>150</v>
      </c>
      <c r="M14" s="45">
        <v>24</v>
      </c>
      <c r="N14" s="45">
        <v>165.5</v>
      </c>
      <c r="O14" s="45">
        <v>51.47</v>
      </c>
      <c r="P14" s="45">
        <v>1.0209999999999999</v>
      </c>
    </row>
    <row r="15" spans="1:16" x14ac:dyDescent="0.4">
      <c r="A15" s="42" t="s">
        <v>163</v>
      </c>
      <c r="B15" s="47" t="s">
        <v>177</v>
      </c>
      <c r="C15" s="44" t="s">
        <v>149</v>
      </c>
      <c r="D15" s="45">
        <v>27</v>
      </c>
      <c r="E15" s="45">
        <v>172.7</v>
      </c>
      <c r="F15" s="45">
        <v>70.3</v>
      </c>
      <c r="G15" s="45">
        <v>1.024</v>
      </c>
      <c r="J15" s="42" t="s">
        <v>163</v>
      </c>
      <c r="K15" s="47" t="s">
        <v>177</v>
      </c>
      <c r="L15" s="44" t="s">
        <v>150</v>
      </c>
      <c r="M15" s="45">
        <v>27</v>
      </c>
      <c r="N15" s="45">
        <v>172.7</v>
      </c>
      <c r="O15" s="45">
        <v>70.040000000000006</v>
      </c>
      <c r="P15" s="45">
        <v>1.0249999999999999</v>
      </c>
    </row>
    <row r="16" spans="1:16" x14ac:dyDescent="0.4">
      <c r="A16" s="42" t="s">
        <v>164</v>
      </c>
      <c r="B16" s="49" t="s">
        <v>178</v>
      </c>
      <c r="C16" s="44" t="s">
        <v>149</v>
      </c>
      <c r="D16" s="45">
        <v>31</v>
      </c>
      <c r="E16" s="45">
        <v>163.80000000000001</v>
      </c>
      <c r="F16" s="45">
        <v>62.33</v>
      </c>
      <c r="G16" s="45">
        <v>1.018</v>
      </c>
      <c r="J16" s="42" t="s">
        <v>164</v>
      </c>
      <c r="K16" s="49" t="s">
        <v>178</v>
      </c>
      <c r="L16" s="44" t="s">
        <v>150</v>
      </c>
      <c r="M16" s="45">
        <v>31</v>
      </c>
      <c r="N16" s="45">
        <v>163.80000000000001</v>
      </c>
      <c r="O16" s="45">
        <v>61.99</v>
      </c>
      <c r="P16" s="45">
        <v>1.002</v>
      </c>
    </row>
    <row r="17" spans="1:16" x14ac:dyDescent="0.4">
      <c r="A17" s="50" t="s">
        <v>165</v>
      </c>
      <c r="B17" s="43"/>
      <c r="C17" s="51"/>
      <c r="D17" s="45">
        <f>AVERAGE(D2:D16)</f>
        <v>24.533333333333335</v>
      </c>
      <c r="E17" s="45">
        <f t="shared" ref="E17:G17" si="0">AVERAGE(E2:E16)</f>
        <v>169.29333333333332</v>
      </c>
      <c r="F17" s="45">
        <f t="shared" si="0"/>
        <v>61.510666666666665</v>
      </c>
      <c r="G17" s="45">
        <f t="shared" si="0"/>
        <v>1.0209333333333332</v>
      </c>
      <c r="J17" s="50" t="s">
        <v>165</v>
      </c>
      <c r="K17" s="43"/>
      <c r="L17" s="51"/>
      <c r="M17" s="45">
        <f>AVERAGE(M2:M16)</f>
        <v>24.533333333333335</v>
      </c>
      <c r="N17" s="45">
        <f>AVERAGE(N2:N16)</f>
        <v>169.29333333333332</v>
      </c>
      <c r="O17" s="45">
        <f>AVERAGE(O2:O16)</f>
        <v>61.661999999999999</v>
      </c>
      <c r="P17" s="45">
        <f>AVERAGE(P2:P16)</f>
        <v>1.0166666666666666</v>
      </c>
    </row>
    <row r="18" spans="1:16" x14ac:dyDescent="0.4">
      <c r="A18" s="50" t="s">
        <v>166</v>
      </c>
      <c r="B18" s="52"/>
      <c r="C18" s="51"/>
      <c r="D18" s="45">
        <f>_xlfn.STDEV.S(D2:D16)</f>
        <v>4.5960645691514754</v>
      </c>
      <c r="E18" s="45">
        <f t="shared" ref="E18:G18" si="1">_xlfn.STDEV.S(E2:E16)</f>
        <v>10.405662377946415</v>
      </c>
      <c r="F18" s="45">
        <f t="shared" si="1"/>
        <v>11.550860491549448</v>
      </c>
      <c r="G18" s="45">
        <f t="shared" si="1"/>
        <v>6.9330128131041852E-3</v>
      </c>
      <c r="J18" s="50" t="s">
        <v>166</v>
      </c>
      <c r="K18" s="52"/>
      <c r="L18" s="51"/>
      <c r="M18" s="45">
        <f>_xlfn.STDEV.S(M2:M16)</f>
        <v>4.5960645691514754</v>
      </c>
      <c r="N18" s="45">
        <f>_xlfn.STDEV.S(N2:N16)</f>
        <v>10.405662377946415</v>
      </c>
      <c r="O18" s="45">
        <f>_xlfn.STDEV.S(O2:O16)</f>
        <v>11.376500968475131</v>
      </c>
      <c r="P18" s="45">
        <f>_xlfn.STDEV.S(P2:P16)</f>
        <v>7.4129873163509994E-3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1B4F-375F-406C-93D9-5385D46DA4D9}">
  <dimension ref="A1:G32"/>
  <sheetViews>
    <sheetView tabSelected="1" workbookViewId="0">
      <selection activeCell="O19" sqref="O19"/>
    </sheetView>
  </sheetViews>
  <sheetFormatPr defaultRowHeight="19.5" x14ac:dyDescent="0.4"/>
  <cols>
    <col min="3" max="4" width="11" customWidth="1"/>
    <col min="7" max="7" width="16" customWidth="1"/>
  </cols>
  <sheetData>
    <row r="1" spans="1:7" ht="30" x14ac:dyDescent="0.4">
      <c r="C1" s="65" t="s">
        <v>96</v>
      </c>
      <c r="D1" s="29" t="s">
        <v>116</v>
      </c>
      <c r="E1" s="62" t="s">
        <v>109</v>
      </c>
      <c r="F1" s="63"/>
      <c r="G1" s="67" t="s">
        <v>115</v>
      </c>
    </row>
    <row r="2" spans="1:7" ht="30" x14ac:dyDescent="0.4">
      <c r="C2" s="65"/>
      <c r="D2" s="29" t="s">
        <v>97</v>
      </c>
      <c r="E2" s="28" t="s">
        <v>182</v>
      </c>
      <c r="F2" s="28" t="s">
        <v>183</v>
      </c>
      <c r="G2" s="67"/>
    </row>
    <row r="3" spans="1:7" x14ac:dyDescent="0.4">
      <c r="A3" t="s">
        <v>132</v>
      </c>
      <c r="B3" t="s">
        <v>134</v>
      </c>
      <c r="C3" t="s">
        <v>98</v>
      </c>
      <c r="D3" t="s">
        <v>135</v>
      </c>
      <c r="E3">
        <v>1.3549999999999999E-4</v>
      </c>
      <c r="G3">
        <v>12.54</v>
      </c>
    </row>
    <row r="4" spans="1:7" x14ac:dyDescent="0.4">
      <c r="B4" t="s">
        <v>136</v>
      </c>
      <c r="C4" t="s">
        <v>98</v>
      </c>
      <c r="D4" t="s">
        <v>135</v>
      </c>
      <c r="E4">
        <v>0.18079999999999999</v>
      </c>
      <c r="G4">
        <v>2.3180000000000001</v>
      </c>
    </row>
    <row r="5" spans="1:7" x14ac:dyDescent="0.4">
      <c r="B5" t="s">
        <v>67</v>
      </c>
      <c r="C5" t="s">
        <v>98</v>
      </c>
      <c r="D5" t="s">
        <v>135</v>
      </c>
      <c r="E5">
        <v>0.55420000000000003</v>
      </c>
      <c r="G5">
        <v>3.5939999999999999</v>
      </c>
    </row>
    <row r="6" spans="1:7" x14ac:dyDescent="0.4">
      <c r="B6" t="s">
        <v>68</v>
      </c>
      <c r="C6" t="s">
        <v>98</v>
      </c>
      <c r="D6" t="s">
        <v>135</v>
      </c>
      <c r="E6">
        <v>0.247</v>
      </c>
      <c r="G6">
        <v>2.593</v>
      </c>
    </row>
    <row r="7" spans="1:7" x14ac:dyDescent="0.4">
      <c r="B7" t="s">
        <v>69</v>
      </c>
      <c r="C7" t="s">
        <v>98</v>
      </c>
      <c r="D7" s="54" t="s">
        <v>137</v>
      </c>
      <c r="E7" s="54">
        <v>0.13700000000000001</v>
      </c>
      <c r="G7">
        <v>4.2530000000000001</v>
      </c>
    </row>
    <row r="8" spans="1:7" x14ac:dyDescent="0.4">
      <c r="B8" t="s">
        <v>71</v>
      </c>
      <c r="C8" t="s">
        <v>98</v>
      </c>
      <c r="D8" s="54" t="s">
        <v>137</v>
      </c>
      <c r="E8" s="54">
        <v>0.2722</v>
      </c>
      <c r="G8">
        <v>3.87</v>
      </c>
    </row>
    <row r="9" spans="1:7" x14ac:dyDescent="0.4">
      <c r="B9" t="s">
        <v>72</v>
      </c>
      <c r="C9" t="s">
        <v>98</v>
      </c>
      <c r="D9" t="s">
        <v>135</v>
      </c>
      <c r="E9">
        <v>0.63490000000000002</v>
      </c>
      <c r="G9">
        <v>2.1520000000000001</v>
      </c>
    </row>
    <row r="10" spans="1:7" x14ac:dyDescent="0.4">
      <c r="B10" t="s">
        <v>73</v>
      </c>
      <c r="C10" t="s">
        <v>98</v>
      </c>
      <c r="D10" s="54" t="s">
        <v>137</v>
      </c>
      <c r="E10" s="54">
        <v>0.25340000000000001</v>
      </c>
      <c r="G10">
        <v>7.1870000000000003</v>
      </c>
    </row>
    <row r="11" spans="1:7" x14ac:dyDescent="0.4">
      <c r="B11" t="s">
        <v>74</v>
      </c>
      <c r="C11" t="s">
        <v>98</v>
      </c>
      <c r="D11" t="s">
        <v>135</v>
      </c>
      <c r="E11">
        <v>0.21920000000000001</v>
      </c>
      <c r="G11">
        <v>5.181</v>
      </c>
    </row>
    <row r="12" spans="1:7" x14ac:dyDescent="0.4">
      <c r="B12" t="s">
        <v>75</v>
      </c>
      <c r="C12" t="s">
        <v>98</v>
      </c>
      <c r="D12" t="s">
        <v>135</v>
      </c>
      <c r="E12">
        <v>0.32579999999999998</v>
      </c>
      <c r="G12">
        <v>3.2850000000000001</v>
      </c>
    </row>
    <row r="13" spans="1:7" x14ac:dyDescent="0.4">
      <c r="B13" t="s">
        <v>76</v>
      </c>
      <c r="C13" t="s">
        <v>98</v>
      </c>
      <c r="D13" t="s">
        <v>135</v>
      </c>
      <c r="E13">
        <v>0.64239999999999997</v>
      </c>
      <c r="G13">
        <v>3.3380000000000001</v>
      </c>
    </row>
    <row r="14" spans="1:7" x14ac:dyDescent="0.4">
      <c r="B14" t="s">
        <v>77</v>
      </c>
      <c r="C14" t="s">
        <v>98</v>
      </c>
      <c r="D14" t="s">
        <v>135</v>
      </c>
      <c r="E14">
        <v>0.39710000000000001</v>
      </c>
      <c r="G14">
        <v>2.008</v>
      </c>
    </row>
    <row r="15" spans="1:7" x14ac:dyDescent="0.4">
      <c r="B15" t="s">
        <v>78</v>
      </c>
      <c r="C15" t="s">
        <v>98</v>
      </c>
      <c r="D15" t="s">
        <v>135</v>
      </c>
      <c r="E15">
        <v>6.8099999999999994E-2</v>
      </c>
      <c r="G15">
        <v>14.08</v>
      </c>
    </row>
    <row r="16" spans="1:7" x14ac:dyDescent="0.4">
      <c r="B16" t="s">
        <v>79</v>
      </c>
      <c r="C16" t="s">
        <v>98</v>
      </c>
      <c r="D16" t="s">
        <v>135</v>
      </c>
      <c r="E16">
        <v>0.34160000000000001</v>
      </c>
      <c r="G16">
        <v>5.1959999999999997</v>
      </c>
    </row>
    <row r="17" spans="1:7" x14ac:dyDescent="0.4">
      <c r="B17" t="s">
        <v>80</v>
      </c>
      <c r="C17" t="s">
        <v>98</v>
      </c>
      <c r="D17" t="s">
        <v>135</v>
      </c>
      <c r="E17">
        <v>0.18559999999999999</v>
      </c>
      <c r="G17">
        <v>3.9580000000000002</v>
      </c>
    </row>
    <row r="18" spans="1:7" x14ac:dyDescent="0.4">
      <c r="A18" t="s">
        <v>133</v>
      </c>
      <c r="B18" t="s">
        <v>134</v>
      </c>
      <c r="C18" t="s">
        <v>98</v>
      </c>
      <c r="D18" s="54" t="s">
        <v>137</v>
      </c>
      <c r="E18" s="54"/>
      <c r="F18" s="54">
        <v>0.12540000000000001</v>
      </c>
      <c r="G18">
        <v>24.66</v>
      </c>
    </row>
    <row r="19" spans="1:7" x14ac:dyDescent="0.4">
      <c r="B19" t="s">
        <v>136</v>
      </c>
      <c r="C19" t="s">
        <v>98</v>
      </c>
      <c r="D19" s="54" t="s">
        <v>137</v>
      </c>
      <c r="E19" s="54"/>
      <c r="F19" s="54">
        <v>0.34060000000000001</v>
      </c>
      <c r="G19">
        <v>3.6909999999999998</v>
      </c>
    </row>
    <row r="20" spans="1:7" x14ac:dyDescent="0.4">
      <c r="B20" t="s">
        <v>67</v>
      </c>
      <c r="C20" t="s">
        <v>98</v>
      </c>
      <c r="D20" t="s">
        <v>135</v>
      </c>
      <c r="F20">
        <v>0.39450000000000002</v>
      </c>
      <c r="G20">
        <v>3.2749999999999999</v>
      </c>
    </row>
    <row r="21" spans="1:7" x14ac:dyDescent="0.4">
      <c r="B21" t="s">
        <v>68</v>
      </c>
      <c r="C21" t="s">
        <v>98</v>
      </c>
      <c r="D21" t="s">
        <v>135</v>
      </c>
      <c r="F21">
        <v>0.1656</v>
      </c>
      <c r="G21">
        <v>7.3070000000000004</v>
      </c>
    </row>
    <row r="22" spans="1:7" x14ac:dyDescent="0.4">
      <c r="B22" t="s">
        <v>69</v>
      </c>
      <c r="C22" t="s">
        <v>98</v>
      </c>
      <c r="D22" t="s">
        <v>135</v>
      </c>
      <c r="F22">
        <v>0.48199999999999998</v>
      </c>
      <c r="G22">
        <v>5.2439999999999998</v>
      </c>
    </row>
    <row r="23" spans="1:7" x14ac:dyDescent="0.4">
      <c r="B23" t="s">
        <v>71</v>
      </c>
      <c r="C23" t="s">
        <v>98</v>
      </c>
      <c r="D23" t="s">
        <v>135</v>
      </c>
      <c r="F23">
        <v>0.36809999999999998</v>
      </c>
      <c r="G23">
        <v>3.3639999999999999</v>
      </c>
    </row>
    <row r="24" spans="1:7" x14ac:dyDescent="0.4">
      <c r="B24" t="s">
        <v>72</v>
      </c>
      <c r="C24" s="55" t="s">
        <v>138</v>
      </c>
      <c r="D24" s="55" t="s">
        <v>139</v>
      </c>
      <c r="E24" s="55"/>
      <c r="F24" s="55" t="s">
        <v>140</v>
      </c>
      <c r="G24">
        <v>3.3159999999999998</v>
      </c>
    </row>
    <row r="25" spans="1:7" x14ac:dyDescent="0.4">
      <c r="B25" t="s">
        <v>73</v>
      </c>
      <c r="C25" t="s">
        <v>98</v>
      </c>
      <c r="D25" t="s">
        <v>135</v>
      </c>
      <c r="F25">
        <v>0.29670000000000002</v>
      </c>
      <c r="G25">
        <v>2.94</v>
      </c>
    </row>
    <row r="26" spans="1:7" x14ac:dyDescent="0.4">
      <c r="B26" t="s">
        <v>74</v>
      </c>
      <c r="C26" t="s">
        <v>98</v>
      </c>
      <c r="D26" t="s">
        <v>135</v>
      </c>
      <c r="F26">
        <v>5.1790000000000003E-2</v>
      </c>
      <c r="G26">
        <v>5.1559999999999997</v>
      </c>
    </row>
    <row r="27" spans="1:7" x14ac:dyDescent="0.4">
      <c r="B27" t="s">
        <v>75</v>
      </c>
      <c r="C27" t="s">
        <v>98</v>
      </c>
      <c r="D27" t="s">
        <v>135</v>
      </c>
      <c r="F27">
        <v>0.3604</v>
      </c>
      <c r="G27">
        <v>3.5350000000000001</v>
      </c>
    </row>
    <row r="28" spans="1:7" x14ac:dyDescent="0.4">
      <c r="B28" t="s">
        <v>76</v>
      </c>
      <c r="C28" t="s">
        <v>98</v>
      </c>
      <c r="D28" t="s">
        <v>135</v>
      </c>
      <c r="F28">
        <v>0.54430000000000001</v>
      </c>
      <c r="G28">
        <v>4.3680000000000003</v>
      </c>
    </row>
    <row r="29" spans="1:7" x14ac:dyDescent="0.4">
      <c r="B29" t="s">
        <v>77</v>
      </c>
      <c r="C29" s="55" t="s">
        <v>138</v>
      </c>
      <c r="D29" s="55" t="s">
        <v>139</v>
      </c>
      <c r="E29" s="55"/>
      <c r="F29" s="55" t="s">
        <v>140</v>
      </c>
      <c r="G29">
        <v>1.9419999999999999</v>
      </c>
    </row>
    <row r="30" spans="1:7" x14ac:dyDescent="0.4">
      <c r="B30" t="s">
        <v>78</v>
      </c>
      <c r="C30" s="55" t="s">
        <v>138</v>
      </c>
      <c r="D30" s="55" t="s">
        <v>139</v>
      </c>
      <c r="E30" s="55"/>
      <c r="F30" s="55" t="s">
        <v>140</v>
      </c>
      <c r="G30">
        <v>4.4000000000000004</v>
      </c>
    </row>
    <row r="31" spans="1:7" x14ac:dyDescent="0.4">
      <c r="B31" t="s">
        <v>79</v>
      </c>
      <c r="C31" t="s">
        <v>98</v>
      </c>
      <c r="D31" s="54" t="s">
        <v>137</v>
      </c>
      <c r="E31" s="54"/>
      <c r="F31" s="54">
        <v>0.2848</v>
      </c>
      <c r="G31">
        <v>5.7329999999999997</v>
      </c>
    </row>
    <row r="32" spans="1:7" x14ac:dyDescent="0.4">
      <c r="B32" t="s">
        <v>80</v>
      </c>
      <c r="C32" t="s">
        <v>98</v>
      </c>
      <c r="D32" t="s">
        <v>135</v>
      </c>
      <c r="F32">
        <v>0.159</v>
      </c>
      <c r="G32">
        <v>4.8040000000000003</v>
      </c>
    </row>
  </sheetData>
  <mergeCells count="3">
    <mergeCell ref="C1:C2"/>
    <mergeCell ref="E1:F1"/>
    <mergeCell ref="G1:G2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Participant</vt:lpstr>
      <vt:lpstr>Sweat rate and Sweat lactate</vt:lpstr>
      <vt:lpstr>Threshold and slope</vt:lpstr>
      <vt:lpstr>Follow-up Participant</vt:lpstr>
      <vt:lpstr>Follow-up Threshold , slope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p21b238g</dc:creator>
  <cp:lastModifiedBy>Tatsu Amano</cp:lastModifiedBy>
  <dcterms:created xsi:type="dcterms:W3CDTF">2024-11-28T13:41:23Z</dcterms:created>
  <dcterms:modified xsi:type="dcterms:W3CDTF">2026-02-16T13:31:22Z</dcterms:modified>
</cp:coreProperties>
</file>